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1" hidePivotFieldList="1" defaultThemeVersion="166925"/>
  <mc:AlternateContent xmlns:mc="http://schemas.openxmlformats.org/markup-compatibility/2006">
    <mc:Choice Requires="x15">
      <x15ac:absPath xmlns:x15ac="http://schemas.microsoft.com/office/spreadsheetml/2010/11/ac" url="C:\Users\mahes\OneDrive\Pictures\문서\"/>
    </mc:Choice>
  </mc:AlternateContent>
  <xr:revisionPtr revIDLastSave="0" documentId="8_{44D7942D-24E9-4B99-8C07-6F5D946C51A0}" xr6:coauthVersionLast="47" xr6:coauthVersionMax="47" xr10:uidLastSave="{00000000-0000-0000-0000-000000000000}"/>
  <bookViews>
    <workbookView xWindow="-108" yWindow="-108" windowWidth="23256" windowHeight="12456" tabRatio="849"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able_2">Task_5!$O$9:$P$18</definedName>
    <definedName name="Table_A">Task_5!$A$9:$L$18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3" i="20" l="1" a="1"/>
  <c r="E23" i="20" s="1"/>
  <c r="D13" i="19"/>
  <c r="D22" i="19" s="1"/>
  <c r="E27" i="20" a="1"/>
  <c r="E27" i="20" s="1"/>
  <c r="E26" i="20" a="1"/>
  <c r="E26" i="20" s="1"/>
  <c r="E28" i="20" a="1"/>
  <c r="E28" i="20" s="1"/>
  <c r="E29" i="20" a="1"/>
  <c r="E29" i="20"/>
  <c r="E30" i="20" a="1"/>
  <c r="E30" i="20"/>
  <c r="E31" i="20" a="1"/>
  <c r="E31" i="20" s="1"/>
  <c r="E32" i="20" a="1"/>
  <c r="E32" i="20" s="1"/>
  <c r="E33" i="20" a="1"/>
  <c r="E33" i="20" s="1"/>
  <c r="E34" i="20" a="1"/>
  <c r="E34" i="20"/>
  <c r="E35" i="20" a="1"/>
  <c r="E35" i="20" s="1"/>
  <c r="E24" i="20" a="1"/>
  <c r="E24" i="20" s="1"/>
  <c r="E25" i="20" a="1"/>
  <c r="E25" i="20"/>
  <c r="D24" i="20"/>
  <c r="D25" i="20"/>
  <c r="D26" i="20"/>
  <c r="D27" i="20"/>
  <c r="D28" i="20"/>
  <c r="D29" i="20"/>
  <c r="D30" i="20"/>
  <c r="D31" i="20"/>
  <c r="D32" i="20"/>
  <c r="D33" i="20"/>
  <c r="D34" i="20"/>
  <c r="D35" i="20"/>
  <c r="D23" i="20"/>
  <c r="C23" i="20"/>
  <c r="C24" i="20"/>
  <c r="C25" i="20"/>
  <c r="C26" i="20"/>
  <c r="C27" i="20"/>
  <c r="C28" i="20"/>
  <c r="C29" i="20"/>
  <c r="C30" i="20"/>
  <c r="C31" i="20"/>
  <c r="C32" i="20"/>
  <c r="C33" i="20"/>
  <c r="C34" i="20"/>
  <c r="C35" i="20"/>
  <c r="C30" i="18"/>
  <c r="D30" i="18"/>
  <c r="E30" i="18"/>
  <c r="F30" i="18"/>
  <c r="C29" i="18"/>
  <c r="D29" i="18"/>
  <c r="E29" i="18"/>
  <c r="F29" i="18"/>
  <c r="D28" i="18"/>
  <c r="E28" i="18"/>
  <c r="F28" i="18"/>
  <c r="C28" i="18"/>
  <c r="B30" i="18"/>
  <c r="B29" i="18"/>
  <c r="B28" i="18"/>
  <c r="F6" i="18"/>
  <c r="D6" i="18"/>
  <c r="F7" i="18"/>
  <c r="F8" i="18"/>
  <c r="F9" i="18"/>
  <c r="F10" i="18"/>
  <c r="F11" i="18"/>
  <c r="F12" i="18"/>
  <c r="F13" i="18"/>
  <c r="F14" i="18"/>
  <c r="F15" i="18"/>
  <c r="F16" i="18"/>
  <c r="F17" i="18"/>
  <c r="F18" i="18"/>
  <c r="F19" i="18"/>
  <c r="F20" i="18"/>
  <c r="F21" i="18"/>
  <c r="F22" i="18"/>
  <c r="F23" i="18"/>
  <c r="F24" i="18"/>
  <c r="F25" i="18"/>
  <c r="F26" i="18"/>
  <c r="F27"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C6" i="18"/>
  <c r="C7" i="18"/>
  <c r="C8" i="18"/>
  <c r="C9" i="18"/>
  <c r="C10" i="18"/>
  <c r="C11" i="18"/>
  <c r="C12" i="18"/>
  <c r="C13" i="18"/>
  <c r="C14" i="18"/>
  <c r="C15" i="18"/>
  <c r="C16" i="18"/>
  <c r="C17" i="18"/>
  <c r="C18" i="18"/>
  <c r="C19" i="18"/>
  <c r="C20" i="18"/>
  <c r="C21" i="18"/>
  <c r="C22" i="18"/>
  <c r="C23" i="18"/>
  <c r="C24" i="18"/>
  <c r="C25" i="18"/>
  <c r="C26" i="18"/>
  <c r="C27" i="18"/>
  <c r="B7" i="18"/>
  <c r="B8" i="18"/>
  <c r="B9" i="18"/>
  <c r="B10" i="18"/>
  <c r="B11" i="18"/>
  <c r="B12" i="18"/>
  <c r="B13" i="18"/>
  <c r="B14" i="18"/>
  <c r="B15" i="18"/>
  <c r="B16" i="18"/>
  <c r="B17" i="18"/>
  <c r="B18" i="18"/>
  <c r="B19" i="18"/>
  <c r="B20" i="18"/>
  <c r="B21" i="18"/>
  <c r="B22" i="18"/>
  <c r="B23" i="18"/>
  <c r="B24" i="18"/>
  <c r="B25" i="18"/>
  <c r="B26" i="18"/>
  <c r="B27" i="18"/>
  <c r="B6" i="18"/>
  <c r="D21" i="19"/>
  <c r="D17" i="19"/>
  <c r="D18" i="19"/>
  <c r="D19" i="19"/>
  <c r="D20" i="19"/>
  <c r="D14" i="19"/>
  <c r="D15" i="19"/>
  <c r="D16" i="19"/>
  <c r="D12" i="19"/>
  <c r="G47" i="1"/>
  <c r="I44" i="18"/>
  <c r="G4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<sst xmlns="http://schemas.openxmlformats.org/spreadsheetml/2006/main" count="411" uniqueCount="188">
  <si>
    <t>Instructions</t>
  </si>
  <si>
    <t>1. There are 5 tasks in total for the Excel assessment.</t>
  </si>
  <si>
    <t>2. Each task holds different weightage.</t>
  </si>
  <si>
    <t>3. For Task_1 and Task_2, please refer to the "Dataset" tab.</t>
  </si>
  <si>
    <t>4. Please provide explanation to your solution wherever you're prompted to do so.</t>
  </si>
  <si>
    <t>Allocation of marks by task</t>
  </si>
  <si>
    <t>Task</t>
  </si>
  <si>
    <t>Marks</t>
  </si>
  <si>
    <t>Task_1</t>
  </si>
  <si>
    <t>Task_2</t>
  </si>
  <si>
    <t>Task_3</t>
  </si>
  <si>
    <t>Task_4</t>
  </si>
  <si>
    <t>Task_5</t>
  </si>
  <si>
    <t>Total</t>
  </si>
  <si>
    <t>name</t>
  </si>
  <si>
    <t>ID</t>
  </si>
  <si>
    <t>start_day</t>
  </si>
  <si>
    <t>start_time</t>
  </si>
  <si>
    <t>end_day</t>
  </si>
  <si>
    <t>end_time</t>
  </si>
  <si>
    <t>car1</t>
  </si>
  <si>
    <t>car2</t>
  </si>
  <si>
    <t>car3</t>
  </si>
  <si>
    <t>moto1</t>
  </si>
  <si>
    <t>moto2</t>
  </si>
  <si>
    <t>moto3</t>
  </si>
  <si>
    <t>bus1</t>
  </si>
  <si>
    <t>bus2</t>
  </si>
  <si>
    <t>bus3</t>
  </si>
  <si>
    <t>rv1</t>
  </si>
  <si>
    <t>rv2</t>
  </si>
  <si>
    <t>rv3</t>
  </si>
  <si>
    <t>truck1</t>
  </si>
  <si>
    <t>truck2</t>
  </si>
  <si>
    <t>taxi1</t>
  </si>
  <si>
    <t>taxi2</t>
  </si>
  <si>
    <t>taxi3</t>
  </si>
  <si>
    <t>date</t>
  </si>
  <si>
    <t>Warrendale</t>
  </si>
  <si>
    <t>Monday</t>
  </si>
  <si>
    <t>Sunday</t>
  </si>
  <si>
    <t>Butler Valley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</si>
  <si>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</si>
  <si>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</si>
  <si>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</si>
  <si>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</si>
  <si>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</si>
  <si>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</si>
  <si>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</si>
  <si>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</si>
  <si>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</si>
  <si>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</si>
  <si>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</si>
  <si>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</si>
  <si>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</si>
  <si>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</si>
  <si>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</si>
  <si>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</si>
  <si>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</si>
  <si>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</si>
  <si>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</si>
  <si>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S.R. 29</t>
  </si>
  <si>
    <t>Valley Forge</t>
  </si>
  <si>
    <t>Norristown</t>
  </si>
  <si>
    <t>Fort Washington</t>
  </si>
  <si>
    <t xml:space="preserve">Virginia Drive </t>
  </si>
  <si>
    <t>Willow Grove</t>
  </si>
  <si>
    <t>Bensalem</t>
  </si>
  <si>
    <t xml:space="preserve">St. Rd </t>
  </si>
  <si>
    <t>Neshaminy Falls</t>
  </si>
  <si>
    <t>Mid-County</t>
  </si>
  <si>
    <t>Lansdale</t>
  </si>
  <si>
    <t>Quakertown</t>
  </si>
  <si>
    <t>Lehigh Valley</t>
  </si>
  <si>
    <t>Mahoning Valley</t>
  </si>
  <si>
    <t>S.R. 903</t>
  </si>
  <si>
    <t>Pocono</t>
  </si>
  <si>
    <t>Wilkes-Barre</t>
  </si>
  <si>
    <t>Wyoming Valley</t>
  </si>
  <si>
    <t>Task_ID</t>
  </si>
  <si>
    <t>Task_Description</t>
  </si>
  <si>
    <t>Description</t>
  </si>
  <si>
    <t>Mark assigned</t>
  </si>
  <si>
    <t>Please carry out the following tasks within the "Dataset" tab.</t>
  </si>
  <si>
    <t>Highlight all '-1' values in red colour and all '0' values in green.</t>
  </si>
  <si>
    <t>Red, Green</t>
  </si>
  <si>
    <t>Freeze the top row</t>
  </si>
  <si>
    <t>Give the sum of all values greater than '20' in column H labelled 'car2'</t>
  </si>
  <si>
    <t>"=SUMIF(H2:H40, "&gt;20")"</t>
  </si>
  <si>
    <t>Format the dates given in column X labelled 'dates' in format: 'YYYY-MM-DD'</t>
  </si>
  <si>
    <t>Using either Excel formulas or built-in functionality, split the values given in Table_A into distinct cells as given in Example_table.</t>
  </si>
  <si>
    <t xml:space="preserve">(In the cell below, please write the formula or name of the functionality that you've used to get the required output. Also, explain the process briefly) </t>
  </si>
  <si>
    <t>Formula/Functionality used:</t>
  </si>
  <si>
    <t>Explanation:</t>
  </si>
  <si>
    <t>Example_table</t>
  </si>
  <si>
    <t>value</t>
  </si>
  <si>
    <t>col_1</t>
  </si>
  <si>
    <t>col_3</t>
  </si>
  <si>
    <t>col_4</t>
  </si>
  <si>
    <t>col_5</t>
  </si>
  <si>
    <t>col_6</t>
  </si>
  <si>
    <t>20000-Monday-0-Sunday-24</t>
  </si>
  <si>
    <t>Table_A</t>
  </si>
  <si>
    <t>values</t>
  </si>
  <si>
    <t>col1</t>
  </si>
  <si>
    <t>col_2</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</si>
  <si>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</si>
  <si>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</si>
  <si>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</si>
  <si>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</si>
  <si>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</si>
  <si>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</si>
  <si>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</si>
  <si>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</si>
  <si>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</si>
  <si>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</si>
  <si>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</si>
  <si>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</si>
  <si>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</si>
  <si>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</si>
  <si>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</si>
  <si>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</si>
  <si>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</si>
  <si>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</si>
  <si>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</si>
  <si>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</si>
  <si>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</si>
  <si>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</si>
  <si>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</si>
  <si>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</si>
  <si>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</si>
  <si>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</si>
  <si>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</si>
  <si>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</si>
  <si>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</si>
  <si>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21000-Monday-0-Sunday-24</t>
  </si>
  <si>
    <t>21002-Monday-0-Sunday-24</t>
  </si>
  <si>
    <t>21004-Monday-0-Sunday-24</t>
  </si>
  <si>
    <t>21006-Monday-0-Sunday-24</t>
  </si>
  <si>
    <t>21008-Monday-0-Sunday-24</t>
  </si>
  <si>
    <t>21010-Monday-0-Sunday-24</t>
  </si>
  <si>
    <t>21012-Monday-0-Sunday-24</t>
  </si>
  <si>
    <t>21014-Monday-0-Sunday-24</t>
  </si>
  <si>
    <t>21016-Monday-0-Sunday-24</t>
  </si>
  <si>
    <t>Using appropriate formula, calculate the sum of sales in Table_A using the following condition:</t>
  </si>
  <si>
    <t>All #N/A values must be substituted with the value '20'</t>
  </si>
  <si>
    <t>Date</t>
  </si>
  <si>
    <t>Product</t>
  </si>
  <si>
    <t>Sales</t>
  </si>
  <si>
    <t>Laptop</t>
  </si>
  <si>
    <t>Smartphone</t>
  </si>
  <si>
    <t>Headphones</t>
  </si>
  <si>
    <t>Blender</t>
  </si>
  <si>
    <t>Sunglasses</t>
  </si>
  <si>
    <t>Tablet</t>
  </si>
  <si>
    <t>Camera</t>
  </si>
  <si>
    <t>Printer</t>
  </si>
  <si>
    <t>Keyboard</t>
  </si>
  <si>
    <t>Mouse</t>
  </si>
  <si>
    <t>Sum</t>
  </si>
  <si>
    <t>Fill the values in column "value" of Table_C using the tables A and B.</t>
  </si>
  <si>
    <t>Table_B</t>
  </si>
  <si>
    <t>A</t>
  </si>
  <si>
    <t>B</t>
  </si>
  <si>
    <t>C</t>
  </si>
  <si>
    <t>D</t>
  </si>
  <si>
    <t>E</t>
  </si>
  <si>
    <t>F</t>
  </si>
  <si>
    <t>G</t>
  </si>
  <si>
    <t>H</t>
  </si>
  <si>
    <t>I</t>
  </si>
  <si>
    <t>Name</t>
  </si>
  <si>
    <t>Table_C</t>
  </si>
  <si>
    <t>name_1</t>
  </si>
  <si>
    <t>name_2</t>
  </si>
  <si>
    <t>1. Using relevant Excel formulas, fill up the corresponding empty cells in Table_A with values from the "Dataset" worksheet.</t>
  </si>
  <si>
    <t>2. Calculate minimum, maximum and average values for each column at the bottom.</t>
  </si>
  <si>
    <t>Minimum</t>
  </si>
  <si>
    <t>Maximum</t>
  </si>
  <si>
    <t>Average</t>
  </si>
  <si>
    <t>I used IFNA formula to solve this formula</t>
  </si>
  <si>
    <t>name_1_row_code</t>
  </si>
  <si>
    <t>name_2_column_code</t>
  </si>
  <si>
    <t>I used TEXTSPLIT formul to solve this problem</t>
  </si>
  <si>
    <t>The TEXTSPLIT function in Excel splits text strings into columns or rows using delimiters. It's similar to the Text-to-Columns wizard but in formula form. The syntax for the TEXTSPLIT function is:
=TEXTSPLIT(text,col_delimiter,[row_delimiter],[ignore_empty],[match_mode],[pad_with])</t>
  </si>
  <si>
    <t>The IFNA Function in Excel returns an alternate value as specified by the user if a formula results in an #N/A error. It is a Logical function that was introduced in MS Excel 2013. The purpose of the IFNA function is to use an alternate value instead of the #N/A error.</t>
  </si>
  <si>
    <t>I used XLOOKUP to solve this problem</t>
  </si>
  <si>
    <t>The XLOOKUP function searches a range or an array, and then returns the item corresponding to the first match it finds. If no match exists, then XLOOKUP can return the closest (approximate) match. If omitted, XLOOKUP returns blank cells it finds in lookup_array.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</si>
</sst>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14009]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9">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6" xfId="0" applyFont="1" applyBorder="1"/>
    <xf numFmtId="166" fontId="7" fillId="0" borderId="0" xfId="0" applyNumberFormat="1" applyFont="1"/>
    <xf numFmtId="166" fontId="3" fillId="0" borderId="0" xfId="0" applyNumberFormat="1" applyFont="1"/>
    <xf numFmtId="0" fontId="15" fillId="0" borderId="0" xfId="0" applyFont="1" applyAlignment="1">
      <alignment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AD055B-3438-4178-B016-6F8AA4CE9D0B}">
  <we:reference id="wa200001584" version="2.8.1.5" store="en-US" storeType="OMEX"/>
  <we:alternateReferences>
    <we:reference id="wa200001584" version="2.8.1.5" store="WA200001584"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tabSelected="1" zoomScaleNormal="100" workbookViewId="0">
      <selection activeCell="B18" sqref="B18"/>
    </sheetView>
  </sheetViews>
  <sheetFormatPr defaultColWidth="11" defaultRowHeight="13.8" x14ac:dyDescent="0.3"/>
  <cols>
    <col min="1" max="1" width="70.77734375" style="2" bestFit="1" customWidth="1"/>
    <col min="2" max="16384" width="11" style="2"/>
  </cols>
  <sheetData>
    <row r="1" spans="1:3" ht="18" x14ac:dyDescent="0.35">
      <c r="A1" s="39" t="s">
        <v>0</v>
      </c>
    </row>
    <row r="2" spans="1:3" x14ac:dyDescent="0.3">
      <c r="A2" s="2" t="s">
        <v>1</v>
      </c>
    </row>
    <row r="3" spans="1:3" x14ac:dyDescent="0.3">
      <c r="A3" s="2" t="s">
        <v>2</v>
      </c>
    </row>
    <row r="4" spans="1:3" ht="14.4" x14ac:dyDescent="0.3">
      <c r="A4" s="2" t="s">
        <v>3</v>
      </c>
      <c r="C4" s="1"/>
    </row>
    <row r="5" spans="1:3" x14ac:dyDescent="0.3">
      <c r="A5" s="2" t="s">
        <v>4</v>
      </c>
    </row>
    <row r="8" spans="1:3" x14ac:dyDescent="0.3">
      <c r="A8" s="2" t="s">
        <v>5</v>
      </c>
    </row>
    <row r="9" spans="1:3" x14ac:dyDescent="0.3">
      <c r="A9" s="36" t="s">
        <v>6</v>
      </c>
      <c r="B9" s="26" t="s">
        <v>7</v>
      </c>
    </row>
    <row r="10" spans="1:3" x14ac:dyDescent="0.3">
      <c r="A10" s="35" t="s">
        <v>8</v>
      </c>
      <c r="B10" s="37">
        <v>25</v>
      </c>
    </row>
    <row r="11" spans="1:3" x14ac:dyDescent="0.3">
      <c r="A11" s="35" t="s">
        <v>9</v>
      </c>
      <c r="B11" s="37">
        <v>30</v>
      </c>
    </row>
    <row r="12" spans="1:3" x14ac:dyDescent="0.3">
      <c r="A12" s="35" t="s">
        <v>10</v>
      </c>
      <c r="B12" s="37">
        <v>10</v>
      </c>
    </row>
    <row r="13" spans="1:3" x14ac:dyDescent="0.3">
      <c r="A13" s="35" t="s">
        <v>11</v>
      </c>
      <c r="B13" s="37">
        <v>20</v>
      </c>
    </row>
    <row r="14" spans="1:3" x14ac:dyDescent="0.3">
      <c r="A14" s="35" t="s">
        <v>12</v>
      </c>
      <c r="B14" s="37">
        <v>40</v>
      </c>
    </row>
    <row r="15" spans="1:3" x14ac:dyDescent="0.3">
      <c r="A15" s="38" t="s">
        <v>13</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7"/>
  <sheetViews>
    <sheetView zoomScale="58" zoomScaleNormal="100" workbookViewId="0">
      <pane ySplit="1" topLeftCell="A2" activePane="bottomLeft" state="frozen"/>
      <selection pane="bottomLeft" activeCell="T44" sqref="T44"/>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3.33203125" style="24" bestFit="1" customWidth="1"/>
    <col min="5" max="5" width="9.109375" style="1" bestFit="1" customWidth="1"/>
    <col min="6" max="6" width="10.44140625" style="24" bestFit="1" customWidth="1"/>
    <col min="7" max="9" width="12.77734375" style="1" bestFit="1" customWidth="1"/>
    <col min="10" max="12" width="13" style="1" bestFit="1" customWidth="1"/>
    <col min="13" max="15" width="14.109375" style="1" bestFit="1" customWidth="1"/>
    <col min="16" max="18" width="14.44140625" style="1" bestFit="1" customWidth="1"/>
    <col min="19" max="20" width="18.77734375" style="1" bestFit="1" customWidth="1"/>
    <col min="21" max="23" width="19" style="1" bestFit="1" customWidth="1"/>
    <col min="24" max="24" width="12.44140625" style="47" bestFit="1" customWidth="1"/>
    <col min="25" max="16384" width="9" style="1"/>
  </cols>
  <sheetData>
    <row r="1" spans="1:24" s="3" customFormat="1" ht="14.7" customHeight="1" x14ac:dyDescent="0.3">
      <c r="A1" s="27" t="s">
        <v>14</v>
      </c>
      <c r="B1" s="27" t="s">
        <v>15</v>
      </c>
      <c r="C1" s="27" t="s">
        <v>16</v>
      </c>
      <c r="D1" s="28" t="s">
        <v>17</v>
      </c>
      <c r="E1" s="27" t="s">
        <v>18</v>
      </c>
      <c r="F1" s="28" t="s">
        <v>19</v>
      </c>
      <c r="G1" s="29" t="s">
        <v>20</v>
      </c>
      <c r="H1" s="29" t="s">
        <v>21</v>
      </c>
      <c r="I1" s="29" t="s">
        <v>22</v>
      </c>
      <c r="J1" s="30" t="s">
        <v>23</v>
      </c>
      <c r="K1" s="30" t="s">
        <v>24</v>
      </c>
      <c r="L1" s="30" t="s">
        <v>25</v>
      </c>
      <c r="M1" s="29" t="s">
        <v>26</v>
      </c>
      <c r="N1" s="29" t="s">
        <v>27</v>
      </c>
      <c r="O1" s="29" t="s">
        <v>28</v>
      </c>
      <c r="P1" s="30" t="s">
        <v>29</v>
      </c>
      <c r="Q1" s="30" t="s">
        <v>30</v>
      </c>
      <c r="R1" s="30" t="s">
        <v>31</v>
      </c>
      <c r="S1" s="29" t="s">
        <v>32</v>
      </c>
      <c r="T1" s="29" t="s">
        <v>33</v>
      </c>
      <c r="U1" s="30" t="s">
        <v>34</v>
      </c>
      <c r="V1" s="30" t="s">
        <v>35</v>
      </c>
      <c r="W1" s="30" t="s">
        <v>36</v>
      </c>
      <c r="X1" s="46" t="s">
        <v>37</v>
      </c>
    </row>
    <row r="2" spans="1:24" x14ac:dyDescent="0.3">
      <c r="A2" s="1" t="s">
        <v>38</v>
      </c>
      <c r="B2" s="1">
        <v>20000</v>
      </c>
      <c r="C2" s="1" t="s">
        <v>39</v>
      </c>
      <c r="D2" s="24">
        <v>0</v>
      </c>
      <c r="E2" s="1" t="s">
        <v>40</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7">
        <v>45051</v>
      </c>
    </row>
    <row r="3" spans="1:24" x14ac:dyDescent="0.3">
      <c r="A3" s="1" t="s">
        <v>41</v>
      </c>
      <c r="B3" s="1">
        <v>20002</v>
      </c>
      <c r="C3" s="1" t="s">
        <v>39</v>
      </c>
      <c r="D3" s="24">
        <v>0</v>
      </c>
      <c r="E3" s="1" t="s">
        <v>40</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7">
        <v>45048</v>
      </c>
    </row>
    <row r="4" spans="1:24" x14ac:dyDescent="0.3">
      <c r="A4" s="1" t="s">
        <v>42</v>
      </c>
      <c r="B4" s="1">
        <v>20004</v>
      </c>
      <c r="C4" s="1" t="s">
        <v>39</v>
      </c>
      <c r="D4" s="24">
        <v>0</v>
      </c>
      <c r="E4" s="1" t="s">
        <v>40</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7">
        <v>45055</v>
      </c>
    </row>
    <row r="5" spans="1:24" x14ac:dyDescent="0.3">
      <c r="A5" s="1" t="s">
        <v>43</v>
      </c>
      <c r="B5" s="1">
        <v>20006</v>
      </c>
      <c r="C5" s="1" t="s">
        <v>39</v>
      </c>
      <c r="D5" s="24">
        <v>0</v>
      </c>
      <c r="E5" s="1" t="s">
        <v>40</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7">
        <v>45059</v>
      </c>
    </row>
    <row r="6" spans="1:24" x14ac:dyDescent="0.3">
      <c r="A6" s="1" t="s">
        <v>44</v>
      </c>
      <c r="B6" s="1">
        <v>20008</v>
      </c>
      <c r="C6" s="1" t="s">
        <v>39</v>
      </c>
      <c r="D6" s="24">
        <v>0</v>
      </c>
      <c r="E6" s="1" t="s">
        <v>40</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7">
        <v>45076</v>
      </c>
    </row>
    <row r="7" spans="1:24" x14ac:dyDescent="0.3">
      <c r="A7" s="1" t="s">
        <v>45</v>
      </c>
      <c r="B7" s="1">
        <v>20010</v>
      </c>
      <c r="C7" s="1" t="s">
        <v>39</v>
      </c>
      <c r="D7" s="24">
        <v>0</v>
      </c>
      <c r="E7" s="1" t="s">
        <v>40</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7">
        <v>45057</v>
      </c>
    </row>
    <row r="8" spans="1:24" x14ac:dyDescent="0.3">
      <c r="A8" s="1" t="s">
        <v>46</v>
      </c>
      <c r="B8" s="1">
        <v>20012</v>
      </c>
      <c r="C8" s="1" t="s">
        <v>39</v>
      </c>
      <c r="D8" s="24">
        <v>0</v>
      </c>
      <c r="E8" s="1" t="s">
        <v>40</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7">
        <v>45052</v>
      </c>
    </row>
    <row r="9" spans="1:24" x14ac:dyDescent="0.3">
      <c r="A9" s="1" t="s">
        <v>47</v>
      </c>
      <c r="B9" s="1">
        <v>20014</v>
      </c>
      <c r="C9" s="1" t="s">
        <v>39</v>
      </c>
      <c r="D9" s="24">
        <v>0</v>
      </c>
      <c r="E9" s="1" t="s">
        <v>40</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7">
        <v>45098</v>
      </c>
    </row>
    <row r="10" spans="1:24" x14ac:dyDescent="0.3">
      <c r="A10" s="1" t="s">
        <v>48</v>
      </c>
      <c r="B10" s="1">
        <v>20016</v>
      </c>
      <c r="C10" s="1" t="s">
        <v>39</v>
      </c>
      <c r="D10" s="24">
        <v>0</v>
      </c>
      <c r="E10" s="1" t="s">
        <v>40</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7">
        <v>45092</v>
      </c>
    </row>
    <row r="11" spans="1:24" x14ac:dyDescent="0.3">
      <c r="A11" s="1" t="s">
        <v>49</v>
      </c>
      <c r="B11" s="1">
        <v>20018</v>
      </c>
      <c r="C11" s="1" t="s">
        <v>39</v>
      </c>
      <c r="D11" s="24">
        <v>0</v>
      </c>
      <c r="E11" s="1" t="s">
        <v>40</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7">
        <v>45104</v>
      </c>
    </row>
    <row r="12" spans="1:24" x14ac:dyDescent="0.3">
      <c r="A12" s="1" t="s">
        <v>50</v>
      </c>
      <c r="B12" s="1">
        <v>20020</v>
      </c>
      <c r="C12" s="1" t="s">
        <v>39</v>
      </c>
      <c r="D12" s="24">
        <v>0</v>
      </c>
      <c r="E12" s="1" t="s">
        <v>40</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7">
        <v>45116</v>
      </c>
    </row>
    <row r="13" spans="1:24" x14ac:dyDescent="0.3">
      <c r="A13" s="1" t="s">
        <v>51</v>
      </c>
      <c r="B13" s="1">
        <v>20022</v>
      </c>
      <c r="C13" s="1" t="s">
        <v>39</v>
      </c>
      <c r="D13" s="24">
        <v>0</v>
      </c>
      <c r="E13" s="1" t="s">
        <v>40</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7">
        <v>45110</v>
      </c>
    </row>
    <row r="14" spans="1:24" x14ac:dyDescent="0.3">
      <c r="A14" s="1" t="s">
        <v>52</v>
      </c>
      <c r="B14" s="1">
        <v>20024</v>
      </c>
      <c r="C14" s="1" t="s">
        <v>39</v>
      </c>
      <c r="D14" s="24">
        <v>0</v>
      </c>
      <c r="E14" s="1" t="s">
        <v>40</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7">
        <v>45095</v>
      </c>
    </row>
    <row r="15" spans="1:24" x14ac:dyDescent="0.3">
      <c r="A15" s="1" t="s">
        <v>53</v>
      </c>
      <c r="B15" s="1">
        <v>20026</v>
      </c>
      <c r="C15" s="1" t="s">
        <v>39</v>
      </c>
      <c r="D15" s="24">
        <v>0</v>
      </c>
      <c r="E15" s="1" t="s">
        <v>40</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7">
        <v>45113</v>
      </c>
    </row>
    <row r="16" spans="1:24" x14ac:dyDescent="0.3">
      <c r="A16" s="1" t="s">
        <v>54</v>
      </c>
      <c r="B16" s="1">
        <v>20028</v>
      </c>
      <c r="C16" s="1" t="s">
        <v>39</v>
      </c>
      <c r="D16" s="24">
        <v>0</v>
      </c>
      <c r="E16" s="1" t="s">
        <v>40</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7">
        <v>45063</v>
      </c>
    </row>
    <row r="17" spans="1:24" x14ac:dyDescent="0.3">
      <c r="A17" s="1" t="s">
        <v>55</v>
      </c>
      <c r="B17" s="1">
        <v>20030</v>
      </c>
      <c r="C17" s="1" t="s">
        <v>39</v>
      </c>
      <c r="D17" s="24">
        <v>0</v>
      </c>
      <c r="E17" s="1" t="s">
        <v>40</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7">
        <v>45071</v>
      </c>
    </row>
    <row r="18" spans="1:24" x14ac:dyDescent="0.3">
      <c r="A18" s="1" t="s">
        <v>56</v>
      </c>
      <c r="B18" s="1">
        <v>20032</v>
      </c>
      <c r="C18" s="1" t="s">
        <v>39</v>
      </c>
      <c r="D18" s="24">
        <v>0</v>
      </c>
      <c r="E18" s="1" t="s">
        <v>40</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7">
        <v>45085</v>
      </c>
    </row>
    <row r="19" spans="1:24" x14ac:dyDescent="0.3">
      <c r="A19" s="1" t="s">
        <v>57</v>
      </c>
      <c r="B19" s="1">
        <v>20034</v>
      </c>
      <c r="C19" s="1" t="s">
        <v>39</v>
      </c>
      <c r="D19" s="24">
        <v>0</v>
      </c>
      <c r="E19" s="1" t="s">
        <v>40</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7">
        <v>45099</v>
      </c>
    </row>
    <row r="20" spans="1:24" x14ac:dyDescent="0.3">
      <c r="A20" s="1" t="s">
        <v>58</v>
      </c>
      <c r="B20" s="1">
        <v>20036</v>
      </c>
      <c r="C20" s="1" t="s">
        <v>39</v>
      </c>
      <c r="D20" s="24">
        <v>0</v>
      </c>
      <c r="E20" s="1" t="s">
        <v>40</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7">
        <v>45091</v>
      </c>
    </row>
    <row r="21" spans="1:24" x14ac:dyDescent="0.3">
      <c r="A21" s="1" t="s">
        <v>59</v>
      </c>
      <c r="B21" s="1">
        <v>20038</v>
      </c>
      <c r="C21" s="1" t="s">
        <v>39</v>
      </c>
      <c r="D21" s="24">
        <v>0</v>
      </c>
      <c r="E21" s="1" t="s">
        <v>40</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7">
        <v>45079</v>
      </c>
    </row>
    <row r="22" spans="1:24" x14ac:dyDescent="0.3">
      <c r="A22" s="1" t="s">
        <v>60</v>
      </c>
      <c r="B22" s="1">
        <v>20040</v>
      </c>
      <c r="C22" s="1" t="s">
        <v>39</v>
      </c>
      <c r="D22" s="24">
        <v>0</v>
      </c>
      <c r="E22" s="1" t="s">
        <v>40</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7">
        <v>45075</v>
      </c>
    </row>
    <row r="23" spans="1:24" x14ac:dyDescent="0.3">
      <c r="A23" s="1" t="s">
        <v>61</v>
      </c>
      <c r="B23" s="1">
        <v>20042</v>
      </c>
      <c r="C23" s="1" t="s">
        <v>39</v>
      </c>
      <c r="D23" s="24">
        <v>0</v>
      </c>
      <c r="E23" s="1" t="s">
        <v>40</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7">
        <v>45110</v>
      </c>
    </row>
    <row r="24" spans="1:24" x14ac:dyDescent="0.3">
      <c r="A24" s="1" t="s">
        <v>62</v>
      </c>
      <c r="B24" s="1">
        <v>20044</v>
      </c>
      <c r="C24" s="1" t="s">
        <v>39</v>
      </c>
      <c r="D24" s="24">
        <v>0</v>
      </c>
      <c r="E24" s="1" t="s">
        <v>40</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7">
        <v>45114</v>
      </c>
    </row>
    <row r="25" spans="1:24" x14ac:dyDescent="0.3">
      <c r="A25" s="1" t="s">
        <v>63</v>
      </c>
      <c r="B25" s="1">
        <v>20046</v>
      </c>
      <c r="C25" s="1" t="s">
        <v>39</v>
      </c>
      <c r="D25" s="24">
        <v>0</v>
      </c>
      <c r="E25" s="1" t="s">
        <v>40</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7">
        <v>45118</v>
      </c>
    </row>
    <row r="26" spans="1:24" x14ac:dyDescent="0.3">
      <c r="A26" s="1" t="s">
        <v>64</v>
      </c>
      <c r="B26" s="1">
        <v>20048</v>
      </c>
      <c r="C26" s="1" t="s">
        <v>39</v>
      </c>
      <c r="D26" s="24">
        <v>0</v>
      </c>
      <c r="E26" s="1" t="s">
        <v>40</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7">
        <v>45142</v>
      </c>
    </row>
    <row r="27" spans="1:24" x14ac:dyDescent="0.3">
      <c r="A27" s="1" t="s">
        <v>65</v>
      </c>
      <c r="B27" s="1">
        <v>20050</v>
      </c>
      <c r="C27" s="1" t="s">
        <v>39</v>
      </c>
      <c r="D27" s="24">
        <v>0</v>
      </c>
      <c r="E27" s="1" t="s">
        <v>40</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7">
        <v>45146</v>
      </c>
    </row>
    <row r="28" spans="1:24" x14ac:dyDescent="0.3">
      <c r="A28" s="1" t="s">
        <v>66</v>
      </c>
      <c r="B28" s="1">
        <v>20052</v>
      </c>
      <c r="C28" s="1" t="s">
        <v>39</v>
      </c>
      <c r="D28" s="24">
        <v>0</v>
      </c>
      <c r="E28" s="1" t="s">
        <v>40</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7">
        <v>45108</v>
      </c>
    </row>
    <row r="29" spans="1:24" x14ac:dyDescent="0.3">
      <c r="A29" s="1" t="s">
        <v>67</v>
      </c>
      <c r="B29" s="1">
        <v>20054</v>
      </c>
      <c r="C29" s="1" t="s">
        <v>39</v>
      </c>
      <c r="D29" s="24">
        <v>0</v>
      </c>
      <c r="E29" s="1" t="s">
        <v>40</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7">
        <v>45153</v>
      </c>
    </row>
    <row r="30" spans="1:24" x14ac:dyDescent="0.3">
      <c r="A30" s="1" t="s">
        <v>68</v>
      </c>
      <c r="B30" s="1">
        <v>20058</v>
      </c>
      <c r="C30" s="1" t="s">
        <v>39</v>
      </c>
      <c r="D30" s="24">
        <v>0</v>
      </c>
      <c r="E30" s="1" t="s">
        <v>40</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7">
        <v>45150</v>
      </c>
    </row>
    <row r="31" spans="1:24" x14ac:dyDescent="0.3">
      <c r="A31" s="1" t="s">
        <v>69</v>
      </c>
      <c r="B31" s="1">
        <v>20060</v>
      </c>
      <c r="C31" s="1" t="s">
        <v>39</v>
      </c>
      <c r="D31" s="24">
        <v>0</v>
      </c>
      <c r="E31" s="1" t="s">
        <v>40</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7">
        <v>45157</v>
      </c>
    </row>
    <row r="32" spans="1:24" x14ac:dyDescent="0.3">
      <c r="A32" s="1" t="s">
        <v>70</v>
      </c>
      <c r="B32" s="1">
        <v>21000</v>
      </c>
      <c r="C32" s="1" t="s">
        <v>39</v>
      </c>
      <c r="D32" s="24">
        <v>0</v>
      </c>
      <c r="E32" s="1" t="s">
        <v>40</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7">
        <v>45143</v>
      </c>
    </row>
    <row r="33" spans="1:24" x14ac:dyDescent="0.3">
      <c r="A33" s="1" t="s">
        <v>71</v>
      </c>
      <c r="B33" s="1">
        <v>21002</v>
      </c>
      <c r="C33" s="1" t="s">
        <v>39</v>
      </c>
      <c r="D33" s="24">
        <v>0</v>
      </c>
      <c r="E33" s="1" t="s">
        <v>40</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7">
        <v>45166</v>
      </c>
    </row>
    <row r="34" spans="1:24" x14ac:dyDescent="0.3">
      <c r="A34" s="1" t="s">
        <v>72</v>
      </c>
      <c r="B34" s="1">
        <v>21004</v>
      </c>
      <c r="C34" s="1" t="s">
        <v>39</v>
      </c>
      <c r="D34" s="24">
        <v>0</v>
      </c>
      <c r="E34" s="1" t="s">
        <v>40</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7">
        <v>45162</v>
      </c>
    </row>
    <row r="35" spans="1:24" x14ac:dyDescent="0.3">
      <c r="A35" s="1" t="s">
        <v>73</v>
      </c>
      <c r="B35" s="1">
        <v>21006</v>
      </c>
      <c r="C35" s="1" t="s">
        <v>39</v>
      </c>
      <c r="D35" s="24">
        <v>0</v>
      </c>
      <c r="E35" s="1" t="s">
        <v>40</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7">
        <v>45160</v>
      </c>
    </row>
    <row r="36" spans="1:24" x14ac:dyDescent="0.3">
      <c r="A36" s="1" t="s">
        <v>74</v>
      </c>
      <c r="B36" s="1">
        <v>21008</v>
      </c>
      <c r="C36" s="1" t="s">
        <v>39</v>
      </c>
      <c r="D36" s="24">
        <v>0</v>
      </c>
      <c r="E36" s="1" t="s">
        <v>40</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7">
        <v>45179</v>
      </c>
    </row>
    <row r="37" spans="1:24" x14ac:dyDescent="0.3">
      <c r="A37" s="1" t="s">
        <v>75</v>
      </c>
      <c r="B37" s="1">
        <v>21010</v>
      </c>
      <c r="C37" s="1" t="s">
        <v>39</v>
      </c>
      <c r="D37" s="24">
        <v>0</v>
      </c>
      <c r="E37" s="1" t="s">
        <v>40</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7">
        <v>45157</v>
      </c>
    </row>
    <row r="38" spans="1:24" x14ac:dyDescent="0.3">
      <c r="A38" s="1" t="s">
        <v>76</v>
      </c>
      <c r="B38" s="1">
        <v>21012</v>
      </c>
      <c r="C38" s="1" t="s">
        <v>39</v>
      </c>
      <c r="D38" s="24">
        <v>0</v>
      </c>
      <c r="E38" s="1" t="s">
        <v>40</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7">
        <v>45143</v>
      </c>
    </row>
    <row r="39" spans="1:24" x14ac:dyDescent="0.3">
      <c r="A39" s="1" t="s">
        <v>77</v>
      </c>
      <c r="B39" s="1">
        <v>21014</v>
      </c>
      <c r="C39" s="1" t="s">
        <v>39</v>
      </c>
      <c r="D39" s="24">
        <v>0</v>
      </c>
      <c r="E39" s="1" t="s">
        <v>40</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7">
        <v>45166</v>
      </c>
    </row>
    <row r="40" spans="1:24" x14ac:dyDescent="0.3">
      <c r="A40" s="1" t="s">
        <v>78</v>
      </c>
      <c r="B40" s="1">
        <v>21016</v>
      </c>
      <c r="C40" s="1" t="s">
        <v>39</v>
      </c>
      <c r="D40" s="24">
        <v>0</v>
      </c>
      <c r="E40" s="1" t="s">
        <v>40</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7">
        <v>45162</v>
      </c>
    </row>
    <row r="43" spans="1:24" x14ac:dyDescent="0.3">
      <c r="G43" s="1">
        <f>SUMIF(H2:H40, "&gt;20")</f>
        <v>1473.0000000000002</v>
      </c>
    </row>
    <row r="47" spans="1:24" x14ac:dyDescent="0.3">
      <c r="G47" s="1" t="e">
        <f>INDEX(Dataset!$A$1:$X$40,MATCH(Task_2!$B$5,Dataset!$G$1:$X$1,0))</f>
        <v>#REF!</v>
      </c>
    </row>
  </sheetData>
  <conditionalFormatting sqref="A1:A1048576">
    <cfRule type="duplicateValues" dxfId="3" priority="6"/>
  </conditionalFormatting>
  <conditionalFormatting sqref="B1:B1048576">
    <cfRule type="duplicateValues" dxfId="2" priority="5"/>
  </conditionalFormatting>
  <conditionalFormatting sqref="A1">
    <cfRule type="colorScale" priority="4">
      <colorScale>
        <cfvo type="min"/>
        <cfvo type="max"/>
        <color rgb="FFFF7128"/>
        <color rgb="FFFFEF9C"/>
      </colorScale>
    </cfRule>
  </conditionalFormatting>
  <conditionalFormatting sqref="A1:XFD1">
    <cfRule type="colorScale" priority="3">
      <colorScale>
        <cfvo type="num" val="-1"/>
        <cfvo type="num" val="0"/>
        <color rgb="FFFF0000"/>
        <color rgb="FF00B050"/>
      </colorScale>
    </cfRule>
  </conditionalFormatting>
  <conditionalFormatting sqref="G1:X1048576">
    <cfRule type="cellIs" dxfId="1" priority="2" operator="equal">
      <formula>-1</formula>
    </cfRule>
  </conditionalFormatting>
  <conditionalFormatting sqref="G1:X40">
    <cfRule type="cellIs" dxfId="0"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sheetPr>
    <tabColor rgb="FF00B050"/>
  </sheetPr>
  <dimension ref="A1:E14"/>
  <sheetViews>
    <sheetView topLeftCell="B1" zoomScaleNormal="100" workbookViewId="0">
      <selection activeCell="B27" sqref="B27"/>
    </sheetView>
  </sheetViews>
  <sheetFormatPr defaultColWidth="11" defaultRowHeight="14.4" x14ac:dyDescent="0.3"/>
  <cols>
    <col min="1" max="1" width="8.44140625" style="1" bestFit="1" customWidth="1"/>
    <col min="2" max="2" width="65.77734375" style="1" bestFit="1" customWidth="1"/>
    <col min="3" max="3" width="27.44140625" style="1" bestFit="1" customWidth="1"/>
    <col min="4" max="4" width="11" style="1"/>
    <col min="5" max="5" width="14.44140625" style="1" bestFit="1" customWidth="1"/>
    <col min="6" max="16384" width="11" style="1"/>
  </cols>
  <sheetData>
    <row r="1" spans="1:5" x14ac:dyDescent="0.3">
      <c r="A1" s="4" t="s">
        <v>79</v>
      </c>
      <c r="B1" s="4" t="s">
        <v>80</v>
      </c>
      <c r="C1" s="4" t="s">
        <v>81</v>
      </c>
      <c r="E1" s="4" t="s">
        <v>82</v>
      </c>
    </row>
    <row r="2" spans="1:5" x14ac:dyDescent="0.3">
      <c r="A2" s="2"/>
      <c r="B2" s="5" t="s">
        <v>83</v>
      </c>
      <c r="C2" s="2"/>
    </row>
    <row r="3" spans="1:5" x14ac:dyDescent="0.3">
      <c r="A3" s="6">
        <v>1</v>
      </c>
      <c r="B3" s="2" t="s">
        <v>84</v>
      </c>
      <c r="C3" s="2" t="s">
        <v>85</v>
      </c>
      <c r="E3" s="1">
        <v>5</v>
      </c>
    </row>
    <row r="4" spans="1:5" x14ac:dyDescent="0.3">
      <c r="A4" s="6">
        <v>2</v>
      </c>
      <c r="B4" s="2" t="s">
        <v>86</v>
      </c>
      <c r="C4" s="2"/>
      <c r="E4" s="1">
        <v>5</v>
      </c>
    </row>
    <row r="5" spans="1:5" x14ac:dyDescent="0.3">
      <c r="A5" s="6">
        <v>3</v>
      </c>
      <c r="B5" s="2" t="s">
        <v>87</v>
      </c>
      <c r="C5" s="34" t="s">
        <v>88</v>
      </c>
      <c r="E5" s="1">
        <v>10</v>
      </c>
    </row>
    <row r="6" spans="1:5" x14ac:dyDescent="0.3">
      <c r="A6" s="6">
        <v>4</v>
      </c>
      <c r="B6" s="2" t="s">
        <v>89</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sheetPr>
    <tabColor rgb="FF00B050"/>
  </sheetPr>
  <dimension ref="A1:I44"/>
  <sheetViews>
    <sheetView topLeftCell="A7" zoomScaleNormal="100" workbookViewId="0">
      <selection activeCell="D32" sqref="D32"/>
    </sheetView>
  </sheetViews>
  <sheetFormatPr defaultColWidth="11" defaultRowHeight="13.8" x14ac:dyDescent="0.3"/>
  <cols>
    <col min="1" max="1" width="18.44140625" style="2" bestFit="1" customWidth="1"/>
    <col min="2" max="6" width="15.44140625" style="2" customWidth="1"/>
    <col min="7" max="7" width="11" style="2"/>
    <col min="8" max="8" width="14.44140625" style="2" bestFit="1" customWidth="1"/>
    <col min="9" max="16384" width="11" style="2"/>
  </cols>
  <sheetData>
    <row r="1" spans="1:7" s="41" customFormat="1" ht="21" x14ac:dyDescent="0.4">
      <c r="A1" s="42" t="s">
        <v>9</v>
      </c>
      <c r="B1" s="41" t="s">
        <v>175</v>
      </c>
    </row>
    <row r="2" spans="1:7" s="41" customFormat="1" ht="21" x14ac:dyDescent="0.4">
      <c r="B2" s="41" t="s">
        <v>176</v>
      </c>
    </row>
    <row r="3" spans="1:7" ht="14.4" x14ac:dyDescent="0.3">
      <c r="A3" s="1"/>
      <c r="B3" s="1"/>
      <c r="C3" s="1"/>
      <c r="D3" s="1"/>
      <c r="E3" s="1"/>
      <c r="F3" s="1"/>
      <c r="G3" s="1"/>
    </row>
    <row r="4" spans="1:7" ht="23.4" x14ac:dyDescent="0.45">
      <c r="A4" s="18" t="s">
        <v>102</v>
      </c>
      <c r="B4" s="1"/>
      <c r="C4" s="1"/>
      <c r="D4" s="1"/>
      <c r="E4" s="1"/>
      <c r="F4" s="1"/>
      <c r="G4" s="1"/>
    </row>
    <row r="5" spans="1:7" ht="14.4" x14ac:dyDescent="0.3">
      <c r="A5" s="20" t="s">
        <v>14</v>
      </c>
      <c r="B5" s="21" t="s">
        <v>20</v>
      </c>
      <c r="C5" s="22" t="s">
        <v>27</v>
      </c>
      <c r="D5" s="21" t="s">
        <v>31</v>
      </c>
      <c r="E5" s="22" t="s">
        <v>33</v>
      </c>
      <c r="F5" s="23" t="s">
        <v>35</v>
      </c>
    </row>
    <row r="6" spans="1:7" ht="14.4" x14ac:dyDescent="0.3">
      <c r="A6" s="7" t="s">
        <v>38</v>
      </c>
      <c r="B6" s="12">
        <f>VLOOKUP(Task_2!A6,Dataset!$A$1:$X$40,7,0)</f>
        <v>2.7</v>
      </c>
      <c r="C6" s="12">
        <f>VLOOKUP(A6,Dataset!$A$1:$X$40,14,0)</f>
        <v>7.6</v>
      </c>
      <c r="D6" s="12">
        <f>VLOOKUP(Task_2!A6,Dataset!$A$1:$X$40,18,0)</f>
        <v>4.2</v>
      </c>
      <c r="E6" s="12">
        <f>VLOOKUP(A6,Dataset!$A$1:$X$40,20,0)</f>
        <v>8.9</v>
      </c>
      <c r="F6" s="12">
        <f>VLOOKUP(A6,Dataset!$A$1:$X$40,22,0)</f>
        <v>4.2</v>
      </c>
      <c r="G6" s="12"/>
    </row>
    <row r="7" spans="1:7" ht="14.4" x14ac:dyDescent="0.3">
      <c r="A7" s="7" t="s">
        <v>41</v>
      </c>
      <c r="B7" s="12">
        <f>VLOOKUP(Task_2!A7,Dataset!$A$1:$X$40,7,0)</f>
        <v>2.7</v>
      </c>
      <c r="C7" s="12">
        <f>VLOOKUP(A7,Dataset!$A$1:$X$40,14,0)</f>
        <v>7.6</v>
      </c>
      <c r="D7" s="12">
        <f>VLOOKUP(Task_2!A7,Dataset!$A$1:$X$40,18,0)</f>
        <v>4.2</v>
      </c>
      <c r="E7" s="12">
        <f>VLOOKUP(A7,Dataset!$A$1:$X$40,20,0)</f>
        <v>8.9</v>
      </c>
      <c r="F7" s="12">
        <f>VLOOKUP(A7,Dataset!$A$1:$X$40,22,0)</f>
        <v>4.2</v>
      </c>
    </row>
    <row r="8" spans="1:7" ht="14.4" x14ac:dyDescent="0.3">
      <c r="A8" s="7" t="s">
        <v>42</v>
      </c>
      <c r="B8" s="12">
        <f>VLOOKUP(Task_2!A8,Dataset!$A$1:$X$40,7,0)</f>
        <v>3.6</v>
      </c>
      <c r="C8" s="12">
        <f>VLOOKUP(A8,Dataset!$A$1:$X$40,14,0)</f>
        <v>11.1</v>
      </c>
      <c r="D8" s="12">
        <f>VLOOKUP(Task_2!A8,Dataset!$A$1:$X$40,18,0)</f>
        <v>5.8</v>
      </c>
      <c r="E8" s="12">
        <f>VLOOKUP(A8,Dataset!$A$1:$X$40,20,0)</f>
        <v>12.2</v>
      </c>
      <c r="F8" s="12">
        <f>VLOOKUP(A8,Dataset!$A$1:$X$40,22,0)</f>
        <v>5.8</v>
      </c>
    </row>
    <row r="9" spans="1:7" ht="14.4" x14ac:dyDescent="0.3">
      <c r="A9" s="7" t="s">
        <v>43</v>
      </c>
      <c r="B9" s="12">
        <f>VLOOKUP(Task_2!A9,Dataset!$A$1:$X$40,7,0)</f>
        <v>4.9000000000000004</v>
      </c>
      <c r="C9" s="12">
        <f>VLOOKUP(A9,Dataset!$A$1:$X$40,14,0)</f>
        <v>13.3</v>
      </c>
      <c r="D9" s="12">
        <f>VLOOKUP(Task_2!A9,Dataset!$A$1:$X$40,18,0)</f>
        <v>8.1</v>
      </c>
      <c r="E9" s="12">
        <f>VLOOKUP(A9,Dataset!$A$1:$X$40,20,0)</f>
        <v>17</v>
      </c>
      <c r="F9" s="12">
        <f>VLOOKUP(A9,Dataset!$A$1:$X$40,22,0)</f>
        <v>8.1</v>
      </c>
    </row>
    <row r="10" spans="1:7" ht="14.4" x14ac:dyDescent="0.3">
      <c r="A10" s="7" t="s">
        <v>46</v>
      </c>
      <c r="B10" s="12">
        <f>VLOOKUP(Task_2!A10,Dataset!$A$1:$X$40,7,0)</f>
        <v>9.4</v>
      </c>
      <c r="C10" s="12">
        <f>VLOOKUP(A10,Dataset!$A$1:$X$40,14,0)</f>
        <v>28.3</v>
      </c>
      <c r="D10" s="12">
        <f>VLOOKUP(Task_2!A10,Dataset!$A$1:$X$40,18,0)</f>
        <v>16.100000000000001</v>
      </c>
      <c r="E10" s="12">
        <f>VLOOKUP(A10,Dataset!$A$1:$X$40,20,0)</f>
        <v>32.799999999999997</v>
      </c>
      <c r="F10" s="12">
        <f>VLOOKUP(A10,Dataset!$A$1:$X$40,22,0)</f>
        <v>16.100000000000001</v>
      </c>
    </row>
    <row r="11" spans="1:7" ht="14.4" x14ac:dyDescent="0.3">
      <c r="A11" s="7" t="s">
        <v>47</v>
      </c>
      <c r="B11" s="12">
        <f>VLOOKUP(Task_2!A11,Dataset!$A$1:$X$40,7,0)</f>
        <v>11.6</v>
      </c>
      <c r="C11" s="12">
        <f>VLOOKUP(A11,Dataset!$A$1:$X$40,14,0)</f>
        <v>35.200000000000003</v>
      </c>
      <c r="D11" s="12">
        <f>VLOOKUP(Task_2!A11,Dataset!$A$1:$X$40,18,0)</f>
        <v>21.3</v>
      </c>
      <c r="E11" s="12">
        <f>VLOOKUP(A11,Dataset!$A$1:$X$40,20,0)</f>
        <v>43</v>
      </c>
      <c r="F11" s="12">
        <f>VLOOKUP(A11,Dataset!$A$1:$X$40,22,0)</f>
        <v>21.3</v>
      </c>
    </row>
    <row r="12" spans="1:7" ht="14.4" x14ac:dyDescent="0.3">
      <c r="A12" s="7" t="s">
        <v>49</v>
      </c>
      <c r="B12" s="12">
        <f>VLOOKUP(Task_2!A12,Dataset!$A$1:$X$40,7,0)</f>
        <v>18.399999999999999</v>
      </c>
      <c r="C12" s="12">
        <f>VLOOKUP(A12,Dataset!$A$1:$X$40,14,0)</f>
        <v>55.6</v>
      </c>
      <c r="D12" s="12">
        <f>VLOOKUP(Task_2!A12,Dataset!$A$1:$X$40,18,0)</f>
        <v>33.799999999999997</v>
      </c>
      <c r="E12" s="12">
        <f>VLOOKUP(A12,Dataset!$A$1:$X$40,20,0)</f>
        <v>67.900000000000006</v>
      </c>
      <c r="F12" s="12">
        <f>VLOOKUP(A12,Dataset!$A$1:$X$40,22,0)</f>
        <v>33.799999999999997</v>
      </c>
    </row>
    <row r="13" spans="1:7" ht="14.4" x14ac:dyDescent="0.3">
      <c r="A13" s="7" t="s">
        <v>50</v>
      </c>
      <c r="B13" s="12">
        <f>VLOOKUP(Task_2!A13,Dataset!$A$1:$X$40,7,0)</f>
        <v>0</v>
      </c>
      <c r="C13" s="12">
        <f>VLOOKUP(A13,Dataset!$A$1:$X$40,14,0)</f>
        <v>0</v>
      </c>
      <c r="D13" s="12">
        <f>VLOOKUP(Task_2!A13,Dataset!$A$1:$X$40,18,0)</f>
        <v>0</v>
      </c>
      <c r="E13" s="12">
        <f>VLOOKUP(A13,Dataset!$A$1:$X$40,20,0)</f>
        <v>0</v>
      </c>
      <c r="F13" s="12">
        <f>VLOOKUP(A13,Dataset!$A$1:$X$40,22,0)</f>
        <v>0</v>
      </c>
    </row>
    <row r="14" spans="1:7" ht="14.4" x14ac:dyDescent="0.3">
      <c r="A14" s="7" t="s">
        <v>51</v>
      </c>
      <c r="B14" s="12">
        <f>VLOOKUP(Task_2!A14,Dataset!$A$1:$X$40,7,0)</f>
        <v>21.9</v>
      </c>
      <c r="C14" s="12">
        <f>VLOOKUP(A14,Dataset!$A$1:$X$40,14,0)</f>
        <v>61.5</v>
      </c>
      <c r="D14" s="12">
        <f>VLOOKUP(Task_2!A14,Dataset!$A$1:$X$40,18,0)</f>
        <v>40.1</v>
      </c>
      <c r="E14" s="12">
        <f>VLOOKUP(A14,Dataset!$A$1:$X$40,20,0)</f>
        <v>76.599999999999994</v>
      </c>
      <c r="F14" s="12">
        <f>VLOOKUP(A14,Dataset!$A$1:$X$40,22,0)</f>
        <v>40.1</v>
      </c>
    </row>
    <row r="15" spans="1:7" ht="14.4" x14ac:dyDescent="0.3">
      <c r="A15" s="7" t="s">
        <v>53</v>
      </c>
      <c r="B15" s="12">
        <f>VLOOKUP(Task_2!A15,Dataset!$A$1:$X$40,7,0)</f>
        <v>26.8</v>
      </c>
      <c r="C15" s="12">
        <f>VLOOKUP(A15,Dataset!$A$1:$X$40,14,0)</f>
        <v>79.599999999999994</v>
      </c>
      <c r="D15" s="12">
        <f>VLOOKUP(Task_2!A15,Dataset!$A$1:$X$40,18,0)</f>
        <v>47.9</v>
      </c>
      <c r="E15" s="12">
        <f>VLOOKUP(A15,Dataset!$A$1:$X$40,20,0)</f>
        <v>96.8</v>
      </c>
      <c r="F15" s="12">
        <f>VLOOKUP(A15,Dataset!$A$1:$X$40,22,0)</f>
        <v>47.9</v>
      </c>
    </row>
    <row r="16" spans="1:7" ht="14.4" x14ac:dyDescent="0.3">
      <c r="A16" s="7" t="s">
        <v>55</v>
      </c>
      <c r="B16" s="12">
        <f>VLOOKUP(Task_2!A16,Dataset!$A$1:$X$40,7,0)</f>
        <v>28.5</v>
      </c>
      <c r="C16" s="12">
        <f>VLOOKUP(A16,Dataset!$A$1:$X$40,14,0)</f>
        <v>85.4</v>
      </c>
      <c r="D16" s="12">
        <f>VLOOKUP(Task_2!A16,Dataset!$A$1:$X$40,18,0)</f>
        <v>52.3</v>
      </c>
      <c r="E16" s="12">
        <f>VLOOKUP(A16,Dataset!$A$1:$X$40,20,0)</f>
        <v>106.1</v>
      </c>
      <c r="F16" s="12">
        <f>VLOOKUP(A16,Dataset!$A$1:$X$40,22,0)</f>
        <v>52.3</v>
      </c>
    </row>
    <row r="17" spans="1:6" ht="14.4" x14ac:dyDescent="0.3">
      <c r="A17" s="7" t="s">
        <v>57</v>
      </c>
      <c r="B17" s="12">
        <f>VLOOKUP(Task_2!A17,Dataset!$A$1:$X$40,7,0)</f>
        <v>30.7</v>
      </c>
      <c r="C17" s="12">
        <f>VLOOKUP(A17,Dataset!$A$1:$X$40,14,0)</f>
        <v>92.1</v>
      </c>
      <c r="D17" s="12">
        <f>VLOOKUP(Task_2!A17,Dataset!$A$1:$X$40,18,0)</f>
        <v>57</v>
      </c>
      <c r="E17" s="12">
        <f>VLOOKUP(A17,Dataset!$A$1:$X$40,20,0)</f>
        <v>115.1</v>
      </c>
      <c r="F17" s="12">
        <f>VLOOKUP(A17,Dataset!$A$1:$X$40,22,0)</f>
        <v>57</v>
      </c>
    </row>
    <row r="18" spans="1:6" ht="14.4" x14ac:dyDescent="0.3">
      <c r="A18" s="7" t="s">
        <v>58</v>
      </c>
      <c r="B18" s="12">
        <f>VLOOKUP(Task_2!A18,Dataset!$A$1:$X$40,7,0)</f>
        <v>33.799999999999997</v>
      </c>
      <c r="C18" s="12">
        <f>VLOOKUP(A18,Dataset!$A$1:$X$40,14,0)</f>
        <v>101.3</v>
      </c>
      <c r="D18" s="12">
        <f>VLOOKUP(Task_2!A18,Dataset!$A$1:$X$40,18,0)</f>
        <v>61.4</v>
      </c>
      <c r="E18" s="12">
        <f>VLOOKUP(A18,Dataset!$A$1:$X$40,20,0)</f>
        <v>124.4</v>
      </c>
      <c r="F18" s="12">
        <f>VLOOKUP(A18,Dataset!$A$1:$X$40,22,0)</f>
        <v>61.4</v>
      </c>
    </row>
    <row r="19" spans="1:6" ht="14.4" x14ac:dyDescent="0.3">
      <c r="A19" s="7" t="s">
        <v>59</v>
      </c>
      <c r="B19" s="12">
        <f>VLOOKUP(Task_2!A19,Dataset!$A$1:$X$40,7,0)</f>
        <v>34.700000000000003</v>
      </c>
      <c r="C19" s="12">
        <f>VLOOKUP(A19,Dataset!$A$1:$X$40,14,0)</f>
        <v>106.1</v>
      </c>
      <c r="D19" s="12">
        <f>VLOOKUP(Task_2!A19,Dataset!$A$1:$X$40,18,0)</f>
        <v>63.6</v>
      </c>
      <c r="E19" s="12">
        <f>VLOOKUP(A19,Dataset!$A$1:$X$40,20,0)</f>
        <v>128.6</v>
      </c>
      <c r="F19" s="12">
        <f>VLOOKUP(A19,Dataset!$A$1:$X$40,22,0)</f>
        <v>63.6</v>
      </c>
    </row>
    <row r="20" spans="1:6" ht="14.4" x14ac:dyDescent="0.3">
      <c r="A20" s="7" t="s">
        <v>64</v>
      </c>
      <c r="B20" s="12">
        <f>VLOOKUP(Task_2!A20,Dataset!$A$1:$X$40,7,0)</f>
        <v>0</v>
      </c>
      <c r="C20" s="12">
        <f>VLOOKUP(A20,Dataset!$A$1:$X$40,14,0)</f>
        <v>0</v>
      </c>
      <c r="D20" s="12">
        <f>VLOOKUP(Task_2!A20,Dataset!$A$1:$X$40,18,0)</f>
        <v>0</v>
      </c>
      <c r="E20" s="12">
        <f>VLOOKUP(A20,Dataset!$A$1:$X$40,20,0)</f>
        <v>0</v>
      </c>
      <c r="F20" s="12">
        <f>VLOOKUP(A20,Dataset!$A$1:$X$40,22,0)</f>
        <v>0</v>
      </c>
    </row>
    <row r="21" spans="1:6" ht="14.4" x14ac:dyDescent="0.3">
      <c r="A21" s="7" t="s">
        <v>65</v>
      </c>
      <c r="B21" s="12">
        <f>VLOOKUP(Task_2!A21,Dataset!$A$1:$X$40,7,0)</f>
        <v>41.3</v>
      </c>
      <c r="C21" s="12">
        <f>VLOOKUP(A21,Dataset!$A$1:$X$40,14,0)</f>
        <v>124.4</v>
      </c>
      <c r="D21" s="12">
        <f>VLOOKUP(Task_2!A21,Dataset!$A$1:$X$40,18,0)</f>
        <v>75</v>
      </c>
      <c r="E21" s="12">
        <f>VLOOKUP(A21,Dataset!$A$1:$X$40,20,0)</f>
        <v>151.5</v>
      </c>
      <c r="F21" s="12">
        <f>VLOOKUP(A21,Dataset!$A$1:$X$40,22,0)</f>
        <v>75</v>
      </c>
    </row>
    <row r="22" spans="1:6" ht="14.4" x14ac:dyDescent="0.3">
      <c r="A22" s="7" t="s">
        <v>68</v>
      </c>
      <c r="B22" s="12">
        <f>VLOOKUP(Task_2!A22,Dataset!$A$1:$X$40,7,0)</f>
        <v>-1</v>
      </c>
      <c r="C22" s="12">
        <f>VLOOKUP(A22,Dataset!$A$1:$X$40,14,0)</f>
        <v>-1</v>
      </c>
      <c r="D22" s="12">
        <f>VLOOKUP(Task_2!A22,Dataset!$A$1:$X$40,18,0)</f>
        <v>-1</v>
      </c>
      <c r="E22" s="12">
        <f>VLOOKUP(A22,Dataset!$A$1:$X$40,20,0)</f>
        <v>-1</v>
      </c>
      <c r="F22" s="12">
        <f>VLOOKUP(A22,Dataset!$A$1:$X$40,22,0)</f>
        <v>-1</v>
      </c>
    </row>
    <row r="23" spans="1:6" ht="14.4" x14ac:dyDescent="0.3">
      <c r="A23" s="7" t="s">
        <v>69</v>
      </c>
      <c r="B23" s="12">
        <f>VLOOKUP(Task_2!A23,Dataset!$A$1:$X$40,7,0)</f>
        <v>45</v>
      </c>
      <c r="C23" s="12">
        <f>VLOOKUP(A23,Dataset!$A$1:$X$40,14,0)</f>
        <v>133.4</v>
      </c>
      <c r="D23" s="12">
        <f>VLOOKUP(Task_2!A23,Dataset!$A$1:$X$40,18,0)</f>
        <v>79.400000000000006</v>
      </c>
      <c r="E23" s="12">
        <f>VLOOKUP(A23,Dataset!$A$1:$X$40,20,0)</f>
        <v>160.9</v>
      </c>
      <c r="F23" s="12">
        <f>VLOOKUP(A23,Dataset!$A$1:$X$40,22,0)</f>
        <v>79.400000000000006</v>
      </c>
    </row>
    <row r="24" spans="1:6" ht="14.4" x14ac:dyDescent="0.3">
      <c r="A24" s="7" t="s">
        <v>70</v>
      </c>
      <c r="B24" s="12">
        <f>VLOOKUP(Task_2!A24,Dataset!$A$1:$X$40,7,0)</f>
        <v>-1</v>
      </c>
      <c r="C24" s="12">
        <f>VLOOKUP(A24,Dataset!$A$1:$X$40,14,0)</f>
        <v>-1</v>
      </c>
      <c r="D24" s="12">
        <f>VLOOKUP(Task_2!A24,Dataset!$A$1:$X$40,18,0)</f>
        <v>-1</v>
      </c>
      <c r="E24" s="12">
        <f>VLOOKUP(A24,Dataset!$A$1:$X$40,20,0)</f>
        <v>-1</v>
      </c>
      <c r="F24" s="12">
        <f>VLOOKUP(A24,Dataset!$A$1:$X$40,22,0)</f>
        <v>-1</v>
      </c>
    </row>
    <row r="25" spans="1:6" ht="14.4" x14ac:dyDescent="0.3">
      <c r="A25" s="7" t="s">
        <v>72</v>
      </c>
      <c r="B25" s="12">
        <f>VLOOKUP(Task_2!A25,Dataset!$A$1:$X$40,7,0)</f>
        <v>43.3</v>
      </c>
      <c r="C25" s="12">
        <f>VLOOKUP(A25,Dataset!$A$1:$X$40,14,0)</f>
        <v>128.6</v>
      </c>
      <c r="D25" s="12">
        <f>VLOOKUP(Task_2!A25,Dataset!$A$1:$X$40,18,0)</f>
        <v>79.400000000000006</v>
      </c>
      <c r="E25" s="12">
        <f>VLOOKUP(A25,Dataset!$A$1:$X$40,20,0)</f>
        <v>160.9</v>
      </c>
      <c r="F25" s="12">
        <f>VLOOKUP(A25,Dataset!$A$1:$X$40,22,0)</f>
        <v>79.400000000000006</v>
      </c>
    </row>
    <row r="26" spans="1:6" ht="14.4" x14ac:dyDescent="0.3">
      <c r="A26" s="7" t="s">
        <v>76</v>
      </c>
      <c r="B26" s="12">
        <f>VLOOKUP(Task_2!A26,Dataset!$A$1:$X$40,7,0)</f>
        <v>49.1</v>
      </c>
      <c r="C26" s="12">
        <f>VLOOKUP(A26,Dataset!$A$1:$X$40,14,0)</f>
        <v>146.80000000000001</v>
      </c>
      <c r="D26" s="12">
        <f>VLOOKUP(Task_2!A26,Dataset!$A$1:$X$40,18,0)</f>
        <v>90.9</v>
      </c>
      <c r="E26" s="12">
        <f>VLOOKUP(A26,Dataset!$A$1:$X$40,20,0)</f>
        <v>183.5</v>
      </c>
      <c r="F26" s="12">
        <f>VLOOKUP(A26,Dataset!$A$1:$X$40,22,0)</f>
        <v>90.9</v>
      </c>
    </row>
    <row r="27" spans="1:6" ht="14.4" x14ac:dyDescent="0.3">
      <c r="A27" s="7" t="s">
        <v>78</v>
      </c>
      <c r="B27" s="12">
        <f>VLOOKUP(Task_2!A27,Dataset!$A$1:$X$40,7,0)</f>
        <v>51.8</v>
      </c>
      <c r="C27" s="12">
        <f>VLOOKUP(A27,Dataset!$A$1:$X$40,14,0)</f>
        <v>156.4</v>
      </c>
      <c r="D27" s="12">
        <f>VLOOKUP(Task_2!A27,Dataset!$A$1:$X$40,18,0)</f>
        <v>93.1</v>
      </c>
      <c r="E27" s="12">
        <f>VLOOKUP(A27,Dataset!$A$1:$X$40,20,0)</f>
        <v>188.1</v>
      </c>
      <c r="F27" s="12">
        <f>VLOOKUP(A27,Dataset!$A$1:$X$40,22,0)</f>
        <v>93.1</v>
      </c>
    </row>
    <row r="28" spans="1:6" ht="14.4" x14ac:dyDescent="0.3">
      <c r="A28" s="19" t="s">
        <v>177</v>
      </c>
      <c r="B28" s="31">
        <f>MIN(B6:B27)</f>
        <v>-1</v>
      </c>
      <c r="C28" s="31">
        <f>MIN(C6:C27)</f>
        <v>-1</v>
      </c>
      <c r="D28" s="31">
        <f t="shared" ref="D28:F28" si="0">MIN(D6:D27)</f>
        <v>-1</v>
      </c>
      <c r="E28" s="31">
        <f t="shared" si="0"/>
        <v>-1</v>
      </c>
      <c r="F28" s="31">
        <f t="shared" si="0"/>
        <v>-1</v>
      </c>
    </row>
    <row r="29" spans="1:6" ht="14.4" x14ac:dyDescent="0.3">
      <c r="A29" s="19" t="s">
        <v>178</v>
      </c>
      <c r="B29" s="31">
        <f>MAX(B6:B27)</f>
        <v>51.8</v>
      </c>
      <c r="C29" s="31">
        <f t="shared" ref="C29:F29" si="1">MAX(C6:C27)</f>
        <v>156.4</v>
      </c>
      <c r="D29" s="31">
        <f t="shared" si="1"/>
        <v>93.1</v>
      </c>
      <c r="E29" s="31">
        <f t="shared" si="1"/>
        <v>188.1</v>
      </c>
      <c r="F29" s="31">
        <f t="shared" si="1"/>
        <v>93.1</v>
      </c>
    </row>
    <row r="30" spans="1:6" ht="14.4" x14ac:dyDescent="0.3">
      <c r="A30" s="19" t="s">
        <v>179</v>
      </c>
      <c r="B30" s="31">
        <f>AVERAGE(B6:B27)</f>
        <v>20.827272727272728</v>
      </c>
      <c r="C30" s="31">
        <f t="shared" ref="C30:F30" si="2">AVERAGE(C6:C27)</f>
        <v>62.377272727272725</v>
      </c>
      <c r="D30" s="31">
        <f t="shared" si="2"/>
        <v>37.800000000000004</v>
      </c>
      <c r="E30" s="31">
        <f t="shared" si="2"/>
        <v>76.418181818181822</v>
      </c>
      <c r="F30" s="31">
        <f t="shared" si="2"/>
        <v>37.800000000000004</v>
      </c>
    </row>
    <row r="44" spans="9:9" x14ac:dyDescent="0.3">
      <c r="I44" s="2" t="e">
        <f>Dataset!I44=INDEX(Dataset!$A$1:$X$40,MATCH(Task_2!$B$5,Dataset!$G$1:$X$1,0))</f>
        <v>#REF!</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sheetPr>
    <tabColor rgb="FF00B050"/>
  </sheetPr>
  <dimension ref="A1:K54"/>
  <sheetViews>
    <sheetView zoomScale="60" zoomScaleNormal="100" workbookViewId="0">
      <selection activeCell="I10" sqref="I10"/>
    </sheetView>
  </sheetViews>
  <sheetFormatPr defaultColWidth="11" defaultRowHeight="14.4" x14ac:dyDescent="0.3"/>
  <cols>
    <col min="1" max="1" width="39.77734375" style="1" bestFit="1" customWidth="1"/>
    <col min="2" max="2" width="39.77734375" style="1" customWidth="1"/>
    <col min="3" max="16384" width="11" style="1"/>
  </cols>
  <sheetData>
    <row r="1" spans="1:11" s="41" customFormat="1" ht="21" x14ac:dyDescent="0.4">
      <c r="A1" s="42" t="s">
        <v>10</v>
      </c>
      <c r="B1" s="42"/>
      <c r="C1" s="41" t="s">
        <v>90</v>
      </c>
    </row>
    <row r="2" spans="1:11" customFormat="1" ht="13.2" x14ac:dyDescent="0.25"/>
    <row r="3" spans="1:11" s="2" customFormat="1" x14ac:dyDescent="0.3">
      <c r="C3" s="1"/>
    </row>
    <row r="4" spans="1:11" s="2" customFormat="1" x14ac:dyDescent="0.3">
      <c r="C4" s="1" t="s">
        <v>91</v>
      </c>
    </row>
    <row r="5" spans="1:11" ht="18" x14ac:dyDescent="0.35">
      <c r="A5" s="43" t="s">
        <v>92</v>
      </c>
      <c r="B5" s="40" t="s">
        <v>183</v>
      </c>
      <c r="C5" s="43"/>
    </row>
    <row r="6" spans="1:11" ht="162" x14ac:dyDescent="0.35">
      <c r="A6" s="43" t="s">
        <v>93</v>
      </c>
      <c r="B6" s="48" t="s">
        <v>184</v>
      </c>
      <c r="C6" s="40"/>
    </row>
    <row r="7" spans="1:11" ht="18" x14ac:dyDescent="0.35">
      <c r="A7" s="43"/>
      <c r="B7" s="43"/>
      <c r="C7" s="40"/>
    </row>
    <row r="9" spans="1:11" ht="23.4" x14ac:dyDescent="0.45">
      <c r="A9" s="18" t="s">
        <v>94</v>
      </c>
      <c r="B9" s="18"/>
      <c r="J9" s="2"/>
      <c r="K9" s="2"/>
    </row>
    <row r="10" spans="1:11" x14ac:dyDescent="0.3">
      <c r="A10" s="33" t="s">
        <v>95</v>
      </c>
      <c r="B10" s="33"/>
      <c r="C10" s="17" t="s">
        <v>96</v>
      </c>
      <c r="D10" s="17" t="s">
        <v>97</v>
      </c>
      <c r="E10" s="17" t="s">
        <v>98</v>
      </c>
      <c r="F10" s="17" t="s">
        <v>99</v>
      </c>
      <c r="G10" s="17" t="s">
        <v>100</v>
      </c>
      <c r="J10" s="2"/>
      <c r="K10" s="2"/>
    </row>
    <row r="11" spans="1:11" x14ac:dyDescent="0.3">
      <c r="A11" s="9" t="s">
        <v>101</v>
      </c>
      <c r="B11" s="9"/>
      <c r="C11" s="13">
        <v>20000</v>
      </c>
      <c r="D11" s="13" t="s">
        <v>39</v>
      </c>
      <c r="E11" s="13">
        <v>0</v>
      </c>
      <c r="F11" s="11" t="s">
        <v>40</v>
      </c>
      <c r="G11" s="11">
        <v>24</v>
      </c>
      <c r="J11" s="2"/>
      <c r="K11" s="2"/>
    </row>
    <row r="14" spans="1:11" ht="23.4" x14ac:dyDescent="0.45">
      <c r="A14" s="18" t="s">
        <v>102</v>
      </c>
      <c r="B14" s="18"/>
    </row>
    <row r="15" spans="1:11" x14ac:dyDescent="0.3">
      <c r="A15" s="14" t="s">
        <v>103</v>
      </c>
      <c r="B15" s="14" t="s">
        <v>104</v>
      </c>
      <c r="C15" s="17" t="s">
        <v>105</v>
      </c>
      <c r="D15" s="15" t="s">
        <v>97</v>
      </c>
      <c r="E15" s="17" t="s">
        <v>98</v>
      </c>
      <c r="F15" s="15" t="s">
        <v>99</v>
      </c>
      <c r="G15" s="17" t="s">
        <v>100</v>
      </c>
    </row>
    <row r="16" spans="1:11" x14ac:dyDescent="0.3">
      <c r="A16" s="7" t="s">
        <v>101</v>
      </c>
      <c r="B16" s="7">
        <v>20000</v>
      </c>
      <c r="C16" s="12" t="s">
        <v>39</v>
      </c>
      <c r="D16" s="1">
        <v>0</v>
      </c>
      <c r="E16" s="12" t="s">
        <v>40</v>
      </c>
      <c r="F16" s="1">
        <v>24</v>
      </c>
      <c r="G16" s="12"/>
    </row>
    <row r="17" spans="1:7" x14ac:dyDescent="0.3">
      <c r="A17" s="7" t="s">
        <v>106</v>
      </c>
      <c r="B17" s="7">
        <v>20002</v>
      </c>
      <c r="C17" s="12" t="s">
        <v>39</v>
      </c>
      <c r="D17" s="1">
        <v>0</v>
      </c>
      <c r="E17" s="12" t="s">
        <v>40</v>
      </c>
      <c r="F17" s="1">
        <v>24</v>
      </c>
      <c r="G17" s="12"/>
    </row>
    <row r="18" spans="1:7" x14ac:dyDescent="0.3">
      <c r="A18" s="7" t="s">
        <v>107</v>
      </c>
      <c r="B18" s="7">
        <v>20004</v>
      </c>
      <c r="C18" s="12" t="s">
        <v>39</v>
      </c>
      <c r="D18" s="1">
        <v>0</v>
      </c>
      <c r="E18" s="12" t="s">
        <v>40</v>
      </c>
      <c r="F18" s="1">
        <v>24</v>
      </c>
      <c r="G18" s="12"/>
    </row>
    <row r="19" spans="1:7" x14ac:dyDescent="0.3">
      <c r="A19" s="7" t="s">
        <v>108</v>
      </c>
      <c r="B19" s="7">
        <v>20006</v>
      </c>
      <c r="C19" s="12" t="s">
        <v>39</v>
      </c>
      <c r="D19" s="1">
        <v>0</v>
      </c>
      <c r="E19" s="12" t="s">
        <v>40</v>
      </c>
      <c r="F19" s="1">
        <v>24</v>
      </c>
      <c r="G19" s="12"/>
    </row>
    <row r="20" spans="1:7" x14ac:dyDescent="0.3">
      <c r="A20" s="7" t="s">
        <v>109</v>
      </c>
      <c r="B20" s="7">
        <v>20008</v>
      </c>
      <c r="C20" s="12" t="s">
        <v>39</v>
      </c>
      <c r="D20" s="1">
        <v>0</v>
      </c>
      <c r="E20" s="12" t="s">
        <v>40</v>
      </c>
      <c r="F20" s="1">
        <v>24</v>
      </c>
      <c r="G20" s="12"/>
    </row>
    <row r="21" spans="1:7" x14ac:dyDescent="0.3">
      <c r="A21" s="7" t="s">
        <v>110</v>
      </c>
      <c r="B21" s="7">
        <v>20010</v>
      </c>
      <c r="C21" s="12" t="s">
        <v>39</v>
      </c>
      <c r="D21" s="1">
        <v>0</v>
      </c>
      <c r="E21" s="12" t="s">
        <v>40</v>
      </c>
      <c r="F21" s="1">
        <v>24</v>
      </c>
      <c r="G21" s="12"/>
    </row>
    <row r="22" spans="1:7" x14ac:dyDescent="0.3">
      <c r="A22" s="7" t="s">
        <v>111</v>
      </c>
      <c r="B22" s="7">
        <v>20012</v>
      </c>
      <c r="C22" s="12" t="s">
        <v>39</v>
      </c>
      <c r="D22" s="1">
        <v>0</v>
      </c>
      <c r="E22" s="12" t="s">
        <v>40</v>
      </c>
      <c r="F22" s="1">
        <v>24</v>
      </c>
      <c r="G22" s="12"/>
    </row>
    <row r="23" spans="1:7" x14ac:dyDescent="0.3">
      <c r="A23" s="7" t="s">
        <v>112</v>
      </c>
      <c r="B23" s="7">
        <v>20014</v>
      </c>
      <c r="C23" s="12" t="s">
        <v>39</v>
      </c>
      <c r="D23" s="1">
        <v>0</v>
      </c>
      <c r="E23" s="12" t="s">
        <v>40</v>
      </c>
      <c r="F23" s="1">
        <v>24</v>
      </c>
      <c r="G23" s="12"/>
    </row>
    <row r="24" spans="1:7" x14ac:dyDescent="0.3">
      <c r="A24" s="7" t="s">
        <v>113</v>
      </c>
      <c r="B24" s="7">
        <v>20016</v>
      </c>
      <c r="C24" s="12" t="s">
        <v>39</v>
      </c>
      <c r="D24" s="1">
        <v>0</v>
      </c>
      <c r="E24" s="12" t="s">
        <v>40</v>
      </c>
      <c r="F24" s="1">
        <v>24</v>
      </c>
      <c r="G24" s="12"/>
    </row>
    <row r="25" spans="1:7" x14ac:dyDescent="0.3">
      <c r="A25" s="7" t="s">
        <v>114</v>
      </c>
      <c r="B25" s="7">
        <v>20018</v>
      </c>
      <c r="C25" s="12" t="s">
        <v>39</v>
      </c>
      <c r="D25" s="1">
        <v>0</v>
      </c>
      <c r="E25" s="12" t="s">
        <v>40</v>
      </c>
      <c r="F25" s="1">
        <v>24</v>
      </c>
      <c r="G25" s="12"/>
    </row>
    <row r="26" spans="1:7" x14ac:dyDescent="0.3">
      <c r="A26" s="7" t="s">
        <v>115</v>
      </c>
      <c r="B26" s="7">
        <v>20020</v>
      </c>
      <c r="C26" s="12" t="s">
        <v>39</v>
      </c>
      <c r="D26" s="1">
        <v>0</v>
      </c>
      <c r="E26" s="12" t="s">
        <v>40</v>
      </c>
      <c r="F26" s="1">
        <v>24</v>
      </c>
      <c r="G26" s="12"/>
    </row>
    <row r="27" spans="1:7" x14ac:dyDescent="0.3">
      <c r="A27" s="7" t="s">
        <v>116</v>
      </c>
      <c r="B27" s="7">
        <v>20022</v>
      </c>
      <c r="C27" s="12" t="s">
        <v>39</v>
      </c>
      <c r="D27" s="1">
        <v>0</v>
      </c>
      <c r="E27" s="12" t="s">
        <v>40</v>
      </c>
      <c r="F27" s="1">
        <v>24</v>
      </c>
      <c r="G27" s="12"/>
    </row>
    <row r="28" spans="1:7" x14ac:dyDescent="0.3">
      <c r="A28" s="7" t="s">
        <v>117</v>
      </c>
      <c r="B28" s="7">
        <v>20024</v>
      </c>
      <c r="C28" s="12" t="s">
        <v>39</v>
      </c>
      <c r="D28" s="1">
        <v>0</v>
      </c>
      <c r="E28" s="12" t="s">
        <v>40</v>
      </c>
      <c r="F28" s="1">
        <v>24</v>
      </c>
      <c r="G28" s="12"/>
    </row>
    <row r="29" spans="1:7" x14ac:dyDescent="0.3">
      <c r="A29" s="7" t="s">
        <v>118</v>
      </c>
      <c r="B29" s="7">
        <v>20026</v>
      </c>
      <c r="C29" s="12" t="s">
        <v>39</v>
      </c>
      <c r="D29" s="1">
        <v>0</v>
      </c>
      <c r="E29" s="12" t="s">
        <v>40</v>
      </c>
      <c r="F29" s="1">
        <v>24</v>
      </c>
      <c r="G29" s="12"/>
    </row>
    <row r="30" spans="1:7" x14ac:dyDescent="0.3">
      <c r="A30" s="7" t="s">
        <v>119</v>
      </c>
      <c r="B30" s="7">
        <v>20028</v>
      </c>
      <c r="C30" s="12" t="s">
        <v>39</v>
      </c>
      <c r="D30" s="1">
        <v>0</v>
      </c>
      <c r="E30" s="12" t="s">
        <v>40</v>
      </c>
      <c r="F30" s="1">
        <v>24</v>
      </c>
      <c r="G30" s="12"/>
    </row>
    <row r="31" spans="1:7" x14ac:dyDescent="0.3">
      <c r="A31" s="7" t="s">
        <v>120</v>
      </c>
      <c r="B31" s="7">
        <v>20030</v>
      </c>
      <c r="C31" s="12" t="s">
        <v>39</v>
      </c>
      <c r="D31" s="1">
        <v>0</v>
      </c>
      <c r="E31" s="12" t="s">
        <v>40</v>
      </c>
      <c r="F31" s="1">
        <v>24</v>
      </c>
      <c r="G31" s="12"/>
    </row>
    <row r="32" spans="1:7" x14ac:dyDescent="0.3">
      <c r="A32" s="7" t="s">
        <v>121</v>
      </c>
      <c r="B32" s="7">
        <v>20032</v>
      </c>
      <c r="C32" s="12" t="s">
        <v>39</v>
      </c>
      <c r="D32" s="1">
        <v>0</v>
      </c>
      <c r="E32" s="12" t="s">
        <v>40</v>
      </c>
      <c r="F32" s="1">
        <v>24</v>
      </c>
      <c r="G32" s="12"/>
    </row>
    <row r="33" spans="1:7" x14ac:dyDescent="0.3">
      <c r="A33" s="7" t="s">
        <v>122</v>
      </c>
      <c r="B33" s="7">
        <v>20034</v>
      </c>
      <c r="C33" s="12" t="s">
        <v>39</v>
      </c>
      <c r="D33" s="1">
        <v>0</v>
      </c>
      <c r="E33" s="12" t="s">
        <v>40</v>
      </c>
      <c r="F33" s="1">
        <v>24</v>
      </c>
      <c r="G33" s="12"/>
    </row>
    <row r="34" spans="1:7" x14ac:dyDescent="0.3">
      <c r="A34" s="7" t="s">
        <v>123</v>
      </c>
      <c r="B34" s="7">
        <v>20036</v>
      </c>
      <c r="C34" s="12" t="s">
        <v>39</v>
      </c>
      <c r="D34" s="1">
        <v>0</v>
      </c>
      <c r="E34" s="12" t="s">
        <v>40</v>
      </c>
      <c r="F34" s="1">
        <v>24</v>
      </c>
      <c r="G34" s="12"/>
    </row>
    <row r="35" spans="1:7" x14ac:dyDescent="0.3">
      <c r="A35" s="7" t="s">
        <v>124</v>
      </c>
      <c r="B35" s="7">
        <v>20038</v>
      </c>
      <c r="C35" s="12" t="s">
        <v>39</v>
      </c>
      <c r="D35" s="1">
        <v>0</v>
      </c>
      <c r="E35" s="12" t="s">
        <v>40</v>
      </c>
      <c r="F35" s="1">
        <v>24</v>
      </c>
      <c r="G35" s="12"/>
    </row>
    <row r="36" spans="1:7" x14ac:dyDescent="0.3">
      <c r="A36" s="7" t="s">
        <v>125</v>
      </c>
      <c r="B36" s="7">
        <v>20040</v>
      </c>
      <c r="C36" s="12" t="s">
        <v>39</v>
      </c>
      <c r="D36" s="1">
        <v>0</v>
      </c>
      <c r="E36" s="12" t="s">
        <v>40</v>
      </c>
      <c r="F36" s="1">
        <v>24</v>
      </c>
      <c r="G36" s="12"/>
    </row>
    <row r="37" spans="1:7" x14ac:dyDescent="0.3">
      <c r="A37" s="7" t="s">
        <v>126</v>
      </c>
      <c r="B37" s="7">
        <v>20042</v>
      </c>
      <c r="C37" s="12" t="s">
        <v>39</v>
      </c>
      <c r="D37" s="1">
        <v>0</v>
      </c>
      <c r="E37" s="12" t="s">
        <v>40</v>
      </c>
      <c r="F37" s="1">
        <v>24</v>
      </c>
      <c r="G37" s="12"/>
    </row>
    <row r="38" spans="1:7" x14ac:dyDescent="0.3">
      <c r="A38" s="7" t="s">
        <v>127</v>
      </c>
      <c r="B38" s="7">
        <v>20044</v>
      </c>
      <c r="C38" s="12" t="s">
        <v>39</v>
      </c>
      <c r="D38" s="1">
        <v>0</v>
      </c>
      <c r="E38" s="12" t="s">
        <v>40</v>
      </c>
      <c r="F38" s="1">
        <v>24</v>
      </c>
      <c r="G38" s="12"/>
    </row>
    <row r="39" spans="1:7" x14ac:dyDescent="0.3">
      <c r="A39" s="7" t="s">
        <v>128</v>
      </c>
      <c r="B39" s="7">
        <v>20046</v>
      </c>
      <c r="C39" s="12" t="s">
        <v>39</v>
      </c>
      <c r="D39" s="1">
        <v>0</v>
      </c>
      <c r="E39" s="12" t="s">
        <v>40</v>
      </c>
      <c r="F39" s="1">
        <v>24</v>
      </c>
      <c r="G39" s="12"/>
    </row>
    <row r="40" spans="1:7" x14ac:dyDescent="0.3">
      <c r="A40" s="7" t="s">
        <v>129</v>
      </c>
      <c r="B40" s="7">
        <v>20048</v>
      </c>
      <c r="C40" s="12" t="s">
        <v>39</v>
      </c>
      <c r="D40" s="1">
        <v>0</v>
      </c>
      <c r="E40" s="12" t="s">
        <v>40</v>
      </c>
      <c r="F40" s="1">
        <v>24</v>
      </c>
      <c r="G40" s="12"/>
    </row>
    <row r="41" spans="1:7" x14ac:dyDescent="0.3">
      <c r="A41" s="7" t="s">
        <v>130</v>
      </c>
      <c r="B41" s="7">
        <v>20050</v>
      </c>
      <c r="C41" s="12" t="s">
        <v>39</v>
      </c>
      <c r="D41" s="1">
        <v>0</v>
      </c>
      <c r="E41" s="12" t="s">
        <v>40</v>
      </c>
      <c r="F41" s="1">
        <v>24</v>
      </c>
      <c r="G41" s="12"/>
    </row>
    <row r="42" spans="1:7" x14ac:dyDescent="0.3">
      <c r="A42" s="7" t="s">
        <v>131</v>
      </c>
      <c r="B42" s="7">
        <v>20052</v>
      </c>
      <c r="C42" s="12" t="s">
        <v>39</v>
      </c>
      <c r="D42" s="1">
        <v>0</v>
      </c>
      <c r="E42" s="12" t="s">
        <v>40</v>
      </c>
      <c r="F42" s="1">
        <v>24</v>
      </c>
      <c r="G42" s="12"/>
    </row>
    <row r="43" spans="1:7" x14ac:dyDescent="0.3">
      <c r="A43" s="7" t="s">
        <v>132</v>
      </c>
      <c r="B43" s="7">
        <v>20054</v>
      </c>
      <c r="C43" s="12" t="s">
        <v>39</v>
      </c>
      <c r="D43" s="1">
        <v>0</v>
      </c>
      <c r="E43" s="12" t="s">
        <v>40</v>
      </c>
      <c r="F43" s="1">
        <v>24</v>
      </c>
      <c r="G43" s="12"/>
    </row>
    <row r="44" spans="1:7" x14ac:dyDescent="0.3">
      <c r="A44" s="7" t="s">
        <v>133</v>
      </c>
      <c r="B44" s="7">
        <v>20058</v>
      </c>
      <c r="C44" s="12" t="s">
        <v>39</v>
      </c>
      <c r="D44" s="1">
        <v>0</v>
      </c>
      <c r="E44" s="12" t="s">
        <v>40</v>
      </c>
      <c r="F44" s="1">
        <v>24</v>
      </c>
      <c r="G44" s="12"/>
    </row>
    <row r="45" spans="1:7" x14ac:dyDescent="0.3">
      <c r="A45" s="7" t="s">
        <v>134</v>
      </c>
      <c r="B45" s="7">
        <v>20060</v>
      </c>
      <c r="C45" s="12" t="s">
        <v>39</v>
      </c>
      <c r="D45" s="1">
        <v>0</v>
      </c>
      <c r="E45" s="12" t="s">
        <v>40</v>
      </c>
      <c r="F45" s="1">
        <v>24</v>
      </c>
      <c r="G45" s="12"/>
    </row>
    <row r="46" spans="1:7" x14ac:dyDescent="0.3">
      <c r="A46" s="7" t="s">
        <v>135</v>
      </c>
      <c r="B46" s="7">
        <v>21000</v>
      </c>
      <c r="C46" s="12" t="s">
        <v>39</v>
      </c>
      <c r="D46" s="1">
        <v>0</v>
      </c>
      <c r="E46" s="12" t="s">
        <v>40</v>
      </c>
      <c r="F46" s="1">
        <v>24</v>
      </c>
      <c r="G46" s="12"/>
    </row>
    <row r="47" spans="1:7" x14ac:dyDescent="0.3">
      <c r="A47" s="7" t="s">
        <v>136</v>
      </c>
      <c r="B47" s="7">
        <v>21002</v>
      </c>
      <c r="C47" s="12" t="s">
        <v>39</v>
      </c>
      <c r="D47" s="1">
        <v>0</v>
      </c>
      <c r="E47" s="12" t="s">
        <v>40</v>
      </c>
      <c r="F47" s="1">
        <v>24</v>
      </c>
      <c r="G47" s="12"/>
    </row>
    <row r="48" spans="1:7" x14ac:dyDescent="0.3">
      <c r="A48" s="7" t="s">
        <v>137</v>
      </c>
      <c r="B48" s="7">
        <v>21004</v>
      </c>
      <c r="C48" s="12" t="s">
        <v>39</v>
      </c>
      <c r="D48" s="1">
        <v>0</v>
      </c>
      <c r="E48" s="12" t="s">
        <v>40</v>
      </c>
      <c r="F48" s="1">
        <v>24</v>
      </c>
      <c r="G48" s="12"/>
    </row>
    <row r="49" spans="1:7" x14ac:dyDescent="0.3">
      <c r="A49" s="7" t="s">
        <v>138</v>
      </c>
      <c r="B49" s="7">
        <v>21006</v>
      </c>
      <c r="C49" s="12" t="s">
        <v>39</v>
      </c>
      <c r="D49" s="1">
        <v>0</v>
      </c>
      <c r="E49" s="12" t="s">
        <v>40</v>
      </c>
      <c r="F49" s="1">
        <v>24</v>
      </c>
      <c r="G49" s="12"/>
    </row>
    <row r="50" spans="1:7" x14ac:dyDescent="0.3">
      <c r="A50" s="7" t="s">
        <v>139</v>
      </c>
      <c r="B50" s="7">
        <v>21008</v>
      </c>
      <c r="C50" s="12" t="s">
        <v>39</v>
      </c>
      <c r="D50" s="1">
        <v>0</v>
      </c>
      <c r="E50" s="12" t="s">
        <v>40</v>
      </c>
      <c r="F50" s="1">
        <v>24</v>
      </c>
      <c r="G50" s="12"/>
    </row>
    <row r="51" spans="1:7" x14ac:dyDescent="0.3">
      <c r="A51" s="7" t="s">
        <v>140</v>
      </c>
      <c r="B51" s="7">
        <v>21010</v>
      </c>
      <c r="C51" s="12" t="s">
        <v>39</v>
      </c>
      <c r="D51" s="1">
        <v>0</v>
      </c>
      <c r="E51" s="12" t="s">
        <v>40</v>
      </c>
      <c r="F51" s="1">
        <v>24</v>
      </c>
      <c r="G51" s="12"/>
    </row>
    <row r="52" spans="1:7" x14ac:dyDescent="0.3">
      <c r="A52" s="7" t="s">
        <v>141</v>
      </c>
      <c r="B52" s="7">
        <v>21012</v>
      </c>
      <c r="C52" s="12" t="s">
        <v>39</v>
      </c>
      <c r="D52" s="1">
        <v>0</v>
      </c>
      <c r="E52" s="12" t="s">
        <v>40</v>
      </c>
      <c r="F52" s="1">
        <v>24</v>
      </c>
      <c r="G52" s="12"/>
    </row>
    <row r="53" spans="1:7" x14ac:dyDescent="0.3">
      <c r="A53" s="7" t="s">
        <v>142</v>
      </c>
      <c r="B53" s="7">
        <v>21014</v>
      </c>
      <c r="C53" s="12" t="s">
        <v>39</v>
      </c>
      <c r="D53" s="1">
        <v>0</v>
      </c>
      <c r="E53" s="12" t="s">
        <v>40</v>
      </c>
      <c r="F53" s="1">
        <v>24</v>
      </c>
      <c r="G53" s="12"/>
    </row>
    <row r="54" spans="1:7" x14ac:dyDescent="0.3">
      <c r="A54" s="9" t="s">
        <v>143</v>
      </c>
      <c r="B54" s="9">
        <v>21016</v>
      </c>
      <c r="C54" s="13" t="s">
        <v>39</v>
      </c>
      <c r="D54" s="10">
        <v>0</v>
      </c>
      <c r="E54" s="13" t="s">
        <v>40</v>
      </c>
      <c r="F54" s="10">
        <v>24</v>
      </c>
      <c r="G54" s="13"/>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sheetPr>
    <tabColor rgb="FF00B050"/>
  </sheetPr>
  <dimension ref="A1:D22"/>
  <sheetViews>
    <sheetView zoomScaleNormal="100" workbookViewId="0">
      <selection activeCell="B8" sqref="B8"/>
    </sheetView>
  </sheetViews>
  <sheetFormatPr defaultColWidth="11" defaultRowHeight="13.8" x14ac:dyDescent="0.3"/>
  <cols>
    <col min="1" max="1" width="28.109375" style="2" bestFit="1" customWidth="1"/>
    <col min="2" max="2" width="17.77734375" style="2" bestFit="1" customWidth="1"/>
    <col min="3" max="3" width="11" style="2" bestFit="1" customWidth="1"/>
    <col min="4" max="4" width="13.109375" style="2" bestFit="1" customWidth="1"/>
    <col min="5" max="5" width="10.77734375" style="2" bestFit="1" customWidth="1"/>
    <col min="6" max="6" width="13.44140625" style="2" bestFit="1" customWidth="1"/>
    <col min="7" max="8" width="14.4414062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7" width="12.44140625" style="2" bestFit="1" customWidth="1"/>
    <col min="18" max="18" width="24.109375" style="2" bestFit="1" customWidth="1"/>
    <col min="19" max="19" width="12.4414062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4" ht="21" x14ac:dyDescent="0.4">
      <c r="A1" s="42" t="s">
        <v>11</v>
      </c>
      <c r="B1" s="41" t="s">
        <v>144</v>
      </c>
    </row>
    <row r="2" spans="1:4" ht="18" x14ac:dyDescent="0.35">
      <c r="B2" s="40" t="s">
        <v>145</v>
      </c>
    </row>
    <row r="5" spans="1:4" ht="14.4" x14ac:dyDescent="0.3">
      <c r="B5" s="1" t="s">
        <v>91</v>
      </c>
    </row>
    <row r="6" spans="1:4" ht="14.4" x14ac:dyDescent="0.3">
      <c r="A6" s="3" t="s">
        <v>92</v>
      </c>
      <c r="B6" s="1" t="s">
        <v>180</v>
      </c>
    </row>
    <row r="7" spans="1:4" ht="14.4" x14ac:dyDescent="0.3">
      <c r="A7" s="3" t="s">
        <v>93</v>
      </c>
      <c r="B7" s="1" t="s">
        <v>185</v>
      </c>
    </row>
    <row r="10" spans="1:4" ht="23.4" x14ac:dyDescent="0.45">
      <c r="A10" s="18" t="s">
        <v>102</v>
      </c>
    </row>
    <row r="11" spans="1:4" ht="14.4" x14ac:dyDescent="0.3">
      <c r="A11" s="32" t="s">
        <v>146</v>
      </c>
      <c r="B11" s="17" t="s">
        <v>147</v>
      </c>
      <c r="C11" s="17" t="s">
        <v>148</v>
      </c>
      <c r="D11" s="25" t="s">
        <v>148</v>
      </c>
    </row>
    <row r="12" spans="1:4" ht="14.4" x14ac:dyDescent="0.3">
      <c r="A12" s="32">
        <v>44927</v>
      </c>
      <c r="B12" s="17" t="s">
        <v>149</v>
      </c>
      <c r="C12" s="17">
        <v>200</v>
      </c>
      <c r="D12" s="25">
        <f>_xlfn.IFNA(C12,20)</f>
        <v>200</v>
      </c>
    </row>
    <row r="13" spans="1:4" ht="14.4" x14ac:dyDescent="0.3">
      <c r="A13" s="32">
        <v>44928</v>
      </c>
      <c r="B13" s="17" t="s">
        <v>150</v>
      </c>
      <c r="C13" s="17" t="e">
        <v>#N/A</v>
      </c>
      <c r="D13" s="25">
        <f>_xlfn.IFNA(C13,20)</f>
        <v>20</v>
      </c>
    </row>
    <row r="14" spans="1:4" ht="14.4" x14ac:dyDescent="0.3">
      <c r="A14" s="32">
        <v>44929</v>
      </c>
      <c r="B14" s="17" t="s">
        <v>151</v>
      </c>
      <c r="C14" s="17">
        <v>50</v>
      </c>
      <c r="D14" s="25">
        <f t="shared" ref="D14:D20" si="0">_xlfn.IFNA(C14,20)</f>
        <v>50</v>
      </c>
    </row>
    <row r="15" spans="1:4" ht="14.4" x14ac:dyDescent="0.3">
      <c r="A15" s="32">
        <v>44930</v>
      </c>
      <c r="B15" s="17" t="s">
        <v>152</v>
      </c>
      <c r="C15" s="17" t="e">
        <v>#N/A</v>
      </c>
      <c r="D15" s="25">
        <f t="shared" si="0"/>
        <v>20</v>
      </c>
    </row>
    <row r="16" spans="1:4" ht="14.4" x14ac:dyDescent="0.3">
      <c r="A16" s="32">
        <v>44931</v>
      </c>
      <c r="B16" s="17" t="s">
        <v>153</v>
      </c>
      <c r="C16" s="17">
        <v>10</v>
      </c>
      <c r="D16" s="25">
        <f t="shared" si="0"/>
        <v>10</v>
      </c>
    </row>
    <row r="17" spans="1:4" ht="14.4" x14ac:dyDescent="0.3">
      <c r="A17" s="32">
        <v>44932</v>
      </c>
      <c r="B17" s="17" t="s">
        <v>154</v>
      </c>
      <c r="C17" s="17">
        <v>150</v>
      </c>
      <c r="D17" s="25">
        <f>_xlfn.IFNA(C17,20)</f>
        <v>150</v>
      </c>
    </row>
    <row r="18" spans="1:4" ht="14.4" x14ac:dyDescent="0.3">
      <c r="A18" s="32">
        <v>44933</v>
      </c>
      <c r="B18" s="17" t="s">
        <v>155</v>
      </c>
      <c r="C18" s="17">
        <v>80</v>
      </c>
      <c r="D18" s="25">
        <f t="shared" si="0"/>
        <v>80</v>
      </c>
    </row>
    <row r="19" spans="1:4" ht="14.4" x14ac:dyDescent="0.3">
      <c r="A19" s="32">
        <v>44934</v>
      </c>
      <c r="B19" s="17" t="s">
        <v>156</v>
      </c>
      <c r="C19" s="17" t="e">
        <v>#N/A</v>
      </c>
      <c r="D19" s="25">
        <f t="shared" si="0"/>
        <v>20</v>
      </c>
    </row>
    <row r="20" spans="1:4" ht="14.4" x14ac:dyDescent="0.3">
      <c r="A20" s="32">
        <v>44935</v>
      </c>
      <c r="B20" s="17" t="s">
        <v>157</v>
      </c>
      <c r="C20" s="17">
        <v>30</v>
      </c>
      <c r="D20" s="25">
        <f t="shared" si="0"/>
        <v>30</v>
      </c>
    </row>
    <row r="21" spans="1:4" ht="14.4" x14ac:dyDescent="0.3">
      <c r="A21" s="32">
        <v>44936</v>
      </c>
      <c r="B21" s="17" t="s">
        <v>158</v>
      </c>
      <c r="C21" s="17" t="e">
        <v>#N/A</v>
      </c>
      <c r="D21" s="25">
        <f>_xlfn.IFNA(C21,20)</f>
        <v>20</v>
      </c>
    </row>
    <row r="22" spans="1:4" ht="14.4" x14ac:dyDescent="0.3">
      <c r="B22" s="17" t="s">
        <v>159</v>
      </c>
      <c r="C22" s="25"/>
      <c r="D22" s="25">
        <f>SUM(D12:D21)</f>
        <v>600</v>
      </c>
    </row>
  </sheetData>
  <dataConsolid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sheetPr>
    <tabColor rgb="FF00B050"/>
  </sheetPr>
  <dimension ref="A1:P35"/>
  <sheetViews>
    <sheetView topLeftCell="A6" zoomScale="102" zoomScaleNormal="100" workbookViewId="0">
      <selection activeCell="F21" sqref="F21"/>
    </sheetView>
  </sheetViews>
  <sheetFormatPr defaultColWidth="11" defaultRowHeight="13.8" x14ac:dyDescent="0.3"/>
  <cols>
    <col min="1" max="1" width="32.44140625" style="2" bestFit="1" customWidth="1"/>
    <col min="2" max="2" width="25.6640625" style="2" customWidth="1"/>
    <col min="3" max="3" width="17.33203125" style="2" bestFit="1" customWidth="1"/>
    <col min="4" max="4" width="20.109375" style="2" bestFit="1" customWidth="1"/>
    <col min="5" max="16384" width="11" style="2"/>
  </cols>
  <sheetData>
    <row r="1" spans="1:16" ht="21" x14ac:dyDescent="0.4">
      <c r="A1" s="42" t="s">
        <v>12</v>
      </c>
      <c r="B1" s="41" t="s">
        <v>160</v>
      </c>
      <c r="C1" s="41"/>
      <c r="D1" s="41"/>
    </row>
    <row r="3" spans="1:16" ht="14.4" x14ac:dyDescent="0.3">
      <c r="B3" s="1" t="s">
        <v>91</v>
      </c>
      <c r="C3" s="1"/>
      <c r="D3" s="1"/>
    </row>
    <row r="4" spans="1:16" ht="18" x14ac:dyDescent="0.35">
      <c r="A4" s="43" t="s">
        <v>92</v>
      </c>
      <c r="B4" s="1" t="s">
        <v>186</v>
      </c>
      <c r="C4" s="1"/>
      <c r="D4" s="1"/>
    </row>
    <row r="5" spans="1:16" ht="18" x14ac:dyDescent="0.35">
      <c r="A5" s="43" t="s">
        <v>93</v>
      </c>
      <c r="B5" s="1" t="s">
        <v>187</v>
      </c>
      <c r="C5" s="1"/>
      <c r="D5" s="1"/>
    </row>
    <row r="6" spans="1:16" ht="14.4" x14ac:dyDescent="0.3">
      <c r="A6" s="3"/>
      <c r="B6" s="1"/>
      <c r="C6" s="1"/>
      <c r="D6" s="1"/>
    </row>
    <row r="8" spans="1:16" ht="23.4" x14ac:dyDescent="0.45">
      <c r="A8" s="18" t="s">
        <v>102</v>
      </c>
      <c r="O8" s="18" t="s">
        <v>161</v>
      </c>
    </row>
    <row r="9" spans="1:16" ht="14.4" x14ac:dyDescent="0.3">
      <c r="A9" s="26"/>
      <c r="B9" s="26" t="s">
        <v>162</v>
      </c>
      <c r="C9" s="26"/>
      <c r="D9" s="26"/>
      <c r="E9" s="26" t="s">
        <v>163</v>
      </c>
      <c r="F9" s="26" t="s">
        <v>164</v>
      </c>
      <c r="G9" s="26" t="s">
        <v>165</v>
      </c>
      <c r="H9" s="26" t="s">
        <v>166</v>
      </c>
      <c r="I9" s="26" t="s">
        <v>167</v>
      </c>
      <c r="J9" s="26" t="s">
        <v>168</v>
      </c>
      <c r="K9" s="26" t="s">
        <v>169</v>
      </c>
      <c r="L9" s="26" t="s">
        <v>170</v>
      </c>
      <c r="O9" s="19" t="s">
        <v>15</v>
      </c>
      <c r="P9" s="19" t="s">
        <v>171</v>
      </c>
    </row>
    <row r="10" spans="1:16" ht="14.4" x14ac:dyDescent="0.3">
      <c r="A10" s="26" t="s">
        <v>162</v>
      </c>
      <c r="B10" s="25">
        <v>-1</v>
      </c>
      <c r="C10" s="25"/>
      <c r="D10" s="25"/>
      <c r="E10" s="25">
        <v>95</v>
      </c>
      <c r="F10" s="25">
        <v>-1</v>
      </c>
      <c r="G10" s="25">
        <v>185</v>
      </c>
      <c r="H10" s="25">
        <v>255</v>
      </c>
      <c r="I10" s="25">
        <v>305</v>
      </c>
      <c r="J10" s="25">
        <v>415</v>
      </c>
      <c r="K10" s="25">
        <v>480</v>
      </c>
      <c r="L10" s="25">
        <v>525</v>
      </c>
      <c r="O10" s="12">
        <v>10100</v>
      </c>
      <c r="P10" s="12" t="s">
        <v>162</v>
      </c>
    </row>
    <row r="11" spans="1:16" ht="14.4" x14ac:dyDescent="0.3">
      <c r="A11" s="26" t="s">
        <v>163</v>
      </c>
      <c r="B11" s="25">
        <v>95</v>
      </c>
      <c r="C11" s="25"/>
      <c r="D11" s="25"/>
      <c r="E11" s="25">
        <v>-1</v>
      </c>
      <c r="F11" s="25">
        <v>-1</v>
      </c>
      <c r="G11" s="25">
        <v>90</v>
      </c>
      <c r="H11" s="25">
        <v>160</v>
      </c>
      <c r="I11" s="25">
        <v>210</v>
      </c>
      <c r="J11" s="25">
        <v>325</v>
      </c>
      <c r="K11" s="25">
        <v>390</v>
      </c>
      <c r="L11" s="25">
        <v>430</v>
      </c>
      <c r="O11" s="12">
        <v>10102</v>
      </c>
      <c r="P11" s="12" t="s">
        <v>163</v>
      </c>
    </row>
    <row r="12" spans="1:16" ht="14.4" x14ac:dyDescent="0.3">
      <c r="A12" s="26" t="s">
        <v>164</v>
      </c>
      <c r="B12" s="25">
        <v>-1</v>
      </c>
      <c r="C12" s="25"/>
      <c r="D12" s="25"/>
      <c r="E12" s="25">
        <v>-1</v>
      </c>
      <c r="F12" s="25">
        <v>-1</v>
      </c>
      <c r="G12" s="25">
        <v>60</v>
      </c>
      <c r="H12" s="25">
        <v>130</v>
      </c>
      <c r="I12" s="25">
        <v>180</v>
      </c>
      <c r="J12" s="25">
        <v>295</v>
      </c>
      <c r="K12" s="25">
        <v>355</v>
      </c>
      <c r="L12" s="25">
        <v>400</v>
      </c>
      <c r="O12" s="12">
        <v>10104</v>
      </c>
      <c r="P12" s="12" t="s">
        <v>164</v>
      </c>
    </row>
    <row r="13" spans="1:16" ht="14.4" x14ac:dyDescent="0.3">
      <c r="A13" s="26" t="s">
        <v>165</v>
      </c>
      <c r="B13" s="25">
        <v>185</v>
      </c>
      <c r="C13" s="25"/>
      <c r="D13" s="25"/>
      <c r="E13" s="25">
        <v>90</v>
      </c>
      <c r="F13" s="25">
        <v>60</v>
      </c>
      <c r="G13" s="25">
        <v>-1</v>
      </c>
      <c r="H13" s="25">
        <v>70</v>
      </c>
      <c r="I13" s="25">
        <v>120</v>
      </c>
      <c r="J13" s="25">
        <v>235</v>
      </c>
      <c r="K13" s="25">
        <v>300</v>
      </c>
      <c r="L13" s="25">
        <v>340</v>
      </c>
      <c r="O13" s="12">
        <v>10106</v>
      </c>
      <c r="P13" s="12" t="s">
        <v>165</v>
      </c>
    </row>
    <row r="14" spans="1:16" ht="14.4" x14ac:dyDescent="0.3">
      <c r="A14" s="26" t="s">
        <v>166</v>
      </c>
      <c r="B14" s="25">
        <v>255</v>
      </c>
      <c r="C14" s="25"/>
      <c r="D14" s="25"/>
      <c r="E14" s="25">
        <v>160</v>
      </c>
      <c r="F14" s="25">
        <v>130</v>
      </c>
      <c r="G14" s="25">
        <v>70</v>
      </c>
      <c r="H14" s="25">
        <v>-1</v>
      </c>
      <c r="I14" s="25">
        <v>50</v>
      </c>
      <c r="J14" s="25">
        <v>165</v>
      </c>
      <c r="K14" s="25">
        <v>230</v>
      </c>
      <c r="L14" s="25">
        <v>270</v>
      </c>
      <c r="O14" s="12">
        <v>10108</v>
      </c>
      <c r="P14" s="12" t="s">
        <v>166</v>
      </c>
    </row>
    <row r="15" spans="1:16" ht="14.4" x14ac:dyDescent="0.3">
      <c r="A15" s="26" t="s">
        <v>167</v>
      </c>
      <c r="B15" s="25">
        <v>305</v>
      </c>
      <c r="C15" s="25"/>
      <c r="D15" s="25"/>
      <c r="E15" s="25">
        <v>210</v>
      </c>
      <c r="F15" s="25">
        <v>180</v>
      </c>
      <c r="G15" s="25">
        <v>120</v>
      </c>
      <c r="H15" s="25">
        <v>50</v>
      </c>
      <c r="I15" s="25">
        <v>-1</v>
      </c>
      <c r="J15" s="25">
        <v>115</v>
      </c>
      <c r="K15" s="25">
        <v>180</v>
      </c>
      <c r="L15" s="25">
        <v>220</v>
      </c>
      <c r="O15" s="12">
        <v>10110</v>
      </c>
      <c r="P15" s="12" t="s">
        <v>167</v>
      </c>
    </row>
    <row r="16" spans="1:16" ht="14.4" x14ac:dyDescent="0.3">
      <c r="A16" s="26" t="s">
        <v>168</v>
      </c>
      <c r="B16" s="25">
        <v>415</v>
      </c>
      <c r="C16" s="25"/>
      <c r="D16" s="25"/>
      <c r="E16" s="25">
        <v>325</v>
      </c>
      <c r="F16" s="25">
        <v>295</v>
      </c>
      <c r="G16" s="25">
        <v>235</v>
      </c>
      <c r="H16" s="25">
        <v>165</v>
      </c>
      <c r="I16" s="25">
        <v>115</v>
      </c>
      <c r="J16" s="25">
        <v>-1</v>
      </c>
      <c r="K16" s="25">
        <v>65</v>
      </c>
      <c r="L16" s="25">
        <v>105</v>
      </c>
      <c r="O16" s="12">
        <v>10112</v>
      </c>
      <c r="P16" s="12" t="s">
        <v>168</v>
      </c>
    </row>
    <row r="17" spans="1:16" ht="14.4" x14ac:dyDescent="0.3">
      <c r="A17" s="26" t="s">
        <v>169</v>
      </c>
      <c r="B17" s="25">
        <v>480</v>
      </c>
      <c r="C17" s="25"/>
      <c r="D17" s="25"/>
      <c r="E17" s="25">
        <v>390</v>
      </c>
      <c r="F17" s="25">
        <v>355</v>
      </c>
      <c r="G17" s="25">
        <v>300</v>
      </c>
      <c r="H17" s="25">
        <v>230</v>
      </c>
      <c r="I17" s="25">
        <v>180</v>
      </c>
      <c r="J17" s="25">
        <v>65</v>
      </c>
      <c r="K17" s="25">
        <v>-1</v>
      </c>
      <c r="L17" s="25">
        <v>40</v>
      </c>
      <c r="O17" s="12">
        <v>10114</v>
      </c>
      <c r="P17" s="12" t="s">
        <v>169</v>
      </c>
    </row>
    <row r="18" spans="1:16" ht="14.4" x14ac:dyDescent="0.3">
      <c r="A18" s="26" t="s">
        <v>170</v>
      </c>
      <c r="B18" s="25">
        <v>525</v>
      </c>
      <c r="C18" s="25"/>
      <c r="D18" s="25"/>
      <c r="E18" s="25">
        <v>430</v>
      </c>
      <c r="F18" s="25">
        <v>400</v>
      </c>
      <c r="G18" s="25">
        <v>340</v>
      </c>
      <c r="H18" s="25">
        <v>270</v>
      </c>
      <c r="I18" s="25">
        <v>220</v>
      </c>
      <c r="J18" s="25">
        <v>105</v>
      </c>
      <c r="K18" s="25">
        <v>40</v>
      </c>
      <c r="L18" s="25">
        <v>-1</v>
      </c>
      <c r="O18" s="13">
        <v>10116</v>
      </c>
      <c r="P18" s="13" t="s">
        <v>170</v>
      </c>
    </row>
    <row r="21" spans="1:16" ht="23.4" x14ac:dyDescent="0.45">
      <c r="A21" s="18" t="s">
        <v>172</v>
      </c>
    </row>
    <row r="22" spans="1:16" ht="14.4" x14ac:dyDescent="0.3">
      <c r="A22" s="14" t="s">
        <v>173</v>
      </c>
      <c r="B22" s="17" t="s">
        <v>174</v>
      </c>
      <c r="C22" s="16" t="s">
        <v>181</v>
      </c>
      <c r="D22" s="16" t="s">
        <v>182</v>
      </c>
      <c r="E22" s="16" t="s">
        <v>95</v>
      </c>
    </row>
    <row r="23" spans="1:16" ht="14.4" x14ac:dyDescent="0.3">
      <c r="A23" s="7">
        <v>10100</v>
      </c>
      <c r="B23" s="12">
        <v>10102</v>
      </c>
      <c r="C23" s="8" t="str">
        <f>VLOOKUP(A23,Table_2,2,0)</f>
        <v>A</v>
      </c>
      <c r="D23" s="8" t="str">
        <f>VLOOKUP(B23,Table_2,2,0)</f>
        <v>B</v>
      </c>
      <c r="E23" s="44" cm="1">
        <f t="array" ref="E23">_xlfn.XLOOKUP(C23,$A$10:$A$18,_xlfn.XLOOKUP(D23,$B$9:$L$9,$B$10:$L$18))</f>
        <v>95</v>
      </c>
    </row>
    <row r="24" spans="1:16" ht="14.4" x14ac:dyDescent="0.3">
      <c r="A24" s="7">
        <v>10100</v>
      </c>
      <c r="B24" s="12">
        <v>10104</v>
      </c>
      <c r="C24" s="8" t="str">
        <f>VLOOKUP(A24,Table_2,2,0)</f>
        <v>A</v>
      </c>
      <c r="D24" s="8" t="str">
        <f>VLOOKUP(B24,Table_2,2,0)</f>
        <v>C</v>
      </c>
      <c r="E24" s="44" cm="1">
        <f t="array" ref="E24">_xlfn.XLOOKUP(C24,$A$10:$A$18,_xlfn.XLOOKUP(D24,$B$9:$L$9,$B$10:$L$18))</f>
        <v>-1</v>
      </c>
    </row>
    <row r="25" spans="1:16" ht="14.4" x14ac:dyDescent="0.3">
      <c r="A25" s="7">
        <v>10108</v>
      </c>
      <c r="B25" s="12">
        <v>10102</v>
      </c>
      <c r="C25" s="8" t="str">
        <f>VLOOKUP(A25,Table_2,2,0)</f>
        <v>E</v>
      </c>
      <c r="D25" s="8" t="str">
        <f>VLOOKUP(B25,Table_2,2,0)</f>
        <v>B</v>
      </c>
      <c r="E25" s="44" cm="1">
        <f t="array" ref="E25">_xlfn.XLOOKUP(C25,$A$10:$A$18,_xlfn.XLOOKUP(D25,$B$9:$L$9,$B$10:$L$18))</f>
        <v>160</v>
      </c>
    </row>
    <row r="26" spans="1:16" ht="14.4" x14ac:dyDescent="0.3">
      <c r="A26" s="7">
        <v>10100</v>
      </c>
      <c r="B26" s="12">
        <v>10106</v>
      </c>
      <c r="C26" s="8" t="str">
        <f>VLOOKUP(A26,Table_2,2,0)</f>
        <v>A</v>
      </c>
      <c r="D26" s="8" t="str">
        <f>VLOOKUP(B26,Table_2,2,0)</f>
        <v>D</v>
      </c>
      <c r="E26" s="44" cm="1">
        <f t="array" ref="E26">_xlfn.XLOOKUP(C26,$A$10:$A$18,_xlfn.XLOOKUP(D26,$B$9:$L$9,$B$10:$L$18))</f>
        <v>185</v>
      </c>
    </row>
    <row r="27" spans="1:16" ht="14.4" x14ac:dyDescent="0.3">
      <c r="A27" s="7">
        <v>10108</v>
      </c>
      <c r="B27" s="12">
        <v>10110</v>
      </c>
      <c r="C27" s="8" t="str">
        <f>VLOOKUP(A27,Table_2,2,0)</f>
        <v>E</v>
      </c>
      <c r="D27" s="8" t="str">
        <f>VLOOKUP(B27,Table_2,2,0)</f>
        <v>F</v>
      </c>
      <c r="E27" s="44" cm="1">
        <f t="array" ref="E27">_xlfn.XLOOKUP(C27,$A$10:$A$18,_xlfn.XLOOKUP(D27,$B$9:$L$9,$B$10:$L$18))</f>
        <v>50</v>
      </c>
    </row>
    <row r="28" spans="1:16" ht="14.4" x14ac:dyDescent="0.3">
      <c r="A28" s="7">
        <v>10102</v>
      </c>
      <c r="B28" s="12">
        <v>10104</v>
      </c>
      <c r="C28" s="8" t="str">
        <f>VLOOKUP(A28,Table_2,2,0)</f>
        <v>B</v>
      </c>
      <c r="D28" s="8" t="str">
        <f>VLOOKUP(B28,Table_2,2,0)</f>
        <v>C</v>
      </c>
      <c r="E28" s="44" cm="1">
        <f t="array" ref="E28">_xlfn.XLOOKUP(C28,$A$10:$A$18,_xlfn.XLOOKUP(D28,$B$9:$L$9,$B$10:$L$18))</f>
        <v>-1</v>
      </c>
    </row>
    <row r="29" spans="1:16" ht="14.4" x14ac:dyDescent="0.3">
      <c r="A29" s="7">
        <v>10106</v>
      </c>
      <c r="B29" s="12">
        <v>10108</v>
      </c>
      <c r="C29" s="8" t="str">
        <f>VLOOKUP(A29,Table_2,2,0)</f>
        <v>D</v>
      </c>
      <c r="D29" s="8" t="str">
        <f>VLOOKUP(B29,Table_2,2,0)</f>
        <v>E</v>
      </c>
      <c r="E29" s="44" cm="1">
        <f t="array" ref="E29">_xlfn.XLOOKUP(C29,$A$10:$A$18,_xlfn.XLOOKUP(D29,$B$9:$L$9,$B$10:$L$18))</f>
        <v>70</v>
      </c>
    </row>
    <row r="30" spans="1:16" ht="14.4" x14ac:dyDescent="0.3">
      <c r="A30" s="7">
        <v>10102</v>
      </c>
      <c r="B30" s="12">
        <v>10106</v>
      </c>
      <c r="C30" s="8" t="str">
        <f>VLOOKUP(A30,Table_2,2,0)</f>
        <v>B</v>
      </c>
      <c r="D30" s="8" t="str">
        <f>VLOOKUP(B30,Table_2,2,0)</f>
        <v>D</v>
      </c>
      <c r="E30" s="44" cm="1">
        <f t="array" ref="E30">_xlfn.XLOOKUP(C30,$A$10:$A$18,_xlfn.XLOOKUP(D30,$B$9:$L$9,$B$10:$L$18))</f>
        <v>90</v>
      </c>
    </row>
    <row r="31" spans="1:16" ht="14.4" x14ac:dyDescent="0.3">
      <c r="A31" s="7">
        <v>10110</v>
      </c>
      <c r="B31" s="12">
        <v>10114</v>
      </c>
      <c r="C31" s="8" t="str">
        <f>VLOOKUP(A31,Table_2,2,0)</f>
        <v>F</v>
      </c>
      <c r="D31" s="8" t="str">
        <f>VLOOKUP(B31,Table_2,2,0)</f>
        <v>H</v>
      </c>
      <c r="E31" s="44" cm="1">
        <f t="array" ref="E31">_xlfn.XLOOKUP(C31,$A$10:$A$18,_xlfn.XLOOKUP(D31,$B$9:$L$9,$B$10:$L$18))</f>
        <v>180</v>
      </c>
    </row>
    <row r="32" spans="1:16" ht="14.4" x14ac:dyDescent="0.3">
      <c r="A32" s="7">
        <v>10104</v>
      </c>
      <c r="B32" s="12">
        <v>10106</v>
      </c>
      <c r="C32" s="8" t="str">
        <f>VLOOKUP(A32,Table_2,2,0)</f>
        <v>C</v>
      </c>
      <c r="D32" s="8" t="str">
        <f>VLOOKUP(B32,Table_2,2,0)</f>
        <v>D</v>
      </c>
      <c r="E32" s="44" cm="1">
        <f t="array" ref="E32">_xlfn.XLOOKUP(C32,$A$10:$A$18,_xlfn.XLOOKUP(D32,$B$9:$L$9,$B$10:$L$18))</f>
        <v>60</v>
      </c>
    </row>
    <row r="33" spans="1:5" ht="14.4" x14ac:dyDescent="0.3">
      <c r="A33" s="7">
        <v>10110</v>
      </c>
      <c r="B33" s="12">
        <v>10112</v>
      </c>
      <c r="C33" s="8" t="str">
        <f>VLOOKUP(A33,Table_2,2,0)</f>
        <v>F</v>
      </c>
      <c r="D33" s="8" t="str">
        <f>VLOOKUP(B33,Table_2,2,0)</f>
        <v>G</v>
      </c>
      <c r="E33" s="44" cm="1">
        <f t="array" ref="E33">_xlfn.XLOOKUP(C33,$A$10:$A$18,_xlfn.XLOOKUP(D33,$B$9:$L$9,$B$10:$L$18))</f>
        <v>115</v>
      </c>
    </row>
    <row r="34" spans="1:5" ht="14.4" x14ac:dyDescent="0.3">
      <c r="A34" s="7">
        <v>10100</v>
      </c>
      <c r="B34" s="12">
        <v>10114</v>
      </c>
      <c r="C34" s="8" t="str">
        <f>VLOOKUP(A34,Table_2,2,0)</f>
        <v>A</v>
      </c>
      <c r="D34" s="8" t="str">
        <f>VLOOKUP(B34,Table_2,2,0)</f>
        <v>H</v>
      </c>
      <c r="E34" s="44" cm="1">
        <f t="array" ref="E34">_xlfn.XLOOKUP(C34,$A$10:$A$18,_xlfn.XLOOKUP(D34,$B$9:$L$9,$B$10:$L$18))</f>
        <v>480</v>
      </c>
    </row>
    <row r="35" spans="1:5" ht="14.4" x14ac:dyDescent="0.3">
      <c r="A35" s="9">
        <v>10112</v>
      </c>
      <c r="B35" s="13">
        <v>10116</v>
      </c>
      <c r="C35" s="13" t="str">
        <f>VLOOKUP(A35,Table_2,2,0)</f>
        <v>G</v>
      </c>
      <c r="D35" s="11" t="str">
        <f>VLOOKUP(B35,Table_2,2,0)</f>
        <v>I</v>
      </c>
      <c r="E35" s="45" cm="1">
        <f t="array" ref="E35">_xlfn.XLOOKUP(C35,$A$10:$A$18,_xlfn.XLOOKUP(D35,$B$9:$L$9,$B$10:$L$18))</f>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Instructions</vt:lpstr>
      <vt:lpstr>Dataset</vt:lpstr>
      <vt:lpstr>Task_1</vt:lpstr>
      <vt:lpstr>Task_2</vt:lpstr>
      <vt:lpstr>Task_3</vt:lpstr>
      <vt:lpstr>Task_4</vt:lpstr>
      <vt:lpstr>Task_5</vt:lpstr>
      <vt:lpstr>Table_2</vt:lpstr>
      <vt:lpstr>Table_A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sangram</dc:creator>
  <cp:keywords/>
  <dc:description/>
  <cp:lastModifiedBy>Mahesh Meshram</cp:lastModifiedBy>
  <cp:revision/>
  <dcterms:created xsi:type="dcterms:W3CDTF">2015-02-10T17:33:11Z</dcterms:created>
  <dcterms:modified xsi:type="dcterms:W3CDTF">2024-10-24T08:13:06Z</dcterms:modified>
  <cp:category/>
  <cp:contentStatus/>
</cp:coreProperties>
</file>